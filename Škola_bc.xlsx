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dno\Downloads\Škola\Bakalarske\"/>
    </mc:Choice>
  </mc:AlternateContent>
  <bookViews>
    <workbookView xWindow="0" yWindow="0" windowWidth="28800" windowHeight="12300"/>
  </bookViews>
  <sheets>
    <sheet name="Povinné" sheetId="2" r:id="rId1"/>
    <sheet name="PVA" sheetId="4" r:id="rId2"/>
    <sheet name="PV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2" l="1"/>
  <c r="L14" i="2"/>
  <c r="J18" i="4" l="1"/>
  <c r="L5" i="2"/>
  <c r="J59" i="3" l="1"/>
  <c r="J57" i="3"/>
  <c r="J46" i="3"/>
  <c r="J48" i="3"/>
  <c r="J30" i="3"/>
  <c r="J28" i="3"/>
  <c r="J18" i="3"/>
  <c r="J5" i="3"/>
  <c r="J16" i="3"/>
  <c r="J3" i="3"/>
  <c r="J16" i="4" l="1"/>
  <c r="J5" i="4"/>
  <c r="J3" i="4"/>
  <c r="L3" i="2"/>
</calcChain>
</file>

<file path=xl/sharedStrings.xml><?xml version="1.0" encoding="utf-8"?>
<sst xmlns="http://schemas.openxmlformats.org/spreadsheetml/2006/main" count="525" uniqueCount="199">
  <si>
    <t>Semestr</t>
  </si>
  <si>
    <t>Kód</t>
  </si>
  <si>
    <t>Název</t>
  </si>
  <si>
    <t>Kredity</t>
  </si>
  <si>
    <t>Ukončení</t>
  </si>
  <si>
    <t>Typ ukončení</t>
  </si>
  <si>
    <t>UIIABP0050</t>
  </si>
  <si>
    <t>UIIABP0046</t>
  </si>
  <si>
    <t>UIIABP0048</t>
  </si>
  <si>
    <t>UIIABP0049</t>
  </si>
  <si>
    <t>UIIABP0051</t>
  </si>
  <si>
    <t>UIIABP0053</t>
  </si>
  <si>
    <t>Lingvoreálie 1</t>
  </si>
  <si>
    <t>Angličtina pro IT 1</t>
  </si>
  <si>
    <t>Lingvistická propedeutika</t>
  </si>
  <si>
    <t>Odborná praxe II</t>
  </si>
  <si>
    <t>Počítačová síť a internet</t>
  </si>
  <si>
    <t>Praktická cvičení 4</t>
  </si>
  <si>
    <t>Povinné předměty</t>
  </si>
  <si>
    <t>UIIABP0001</t>
  </si>
  <si>
    <t>UIIABP0002</t>
  </si>
  <si>
    <t>UIIABP0003</t>
  </si>
  <si>
    <t>UIIABP0041</t>
  </si>
  <si>
    <t>UIIABP0042</t>
  </si>
  <si>
    <t>UIIABP0044</t>
  </si>
  <si>
    <t>UIIABP0045</t>
  </si>
  <si>
    <t>UIIABP0047</t>
  </si>
  <si>
    <t>UIIABP0008 </t>
  </si>
  <si>
    <t>UIIABP0011</t>
  </si>
  <si>
    <t>UIIABP0010 </t>
  </si>
  <si>
    <t>UIIABP0009</t>
  </si>
  <si>
    <t>UIIABP0012</t>
  </si>
  <si>
    <t>Teorie jazyků a automatů II</t>
  </si>
  <si>
    <t>Odborná praxe I</t>
  </si>
  <si>
    <t>Operační systémy I</t>
  </si>
  <si>
    <t>Praktická cvičení 3</t>
  </si>
  <si>
    <t>Interpretace textu 2</t>
  </si>
  <si>
    <t>Algoritmy a programování I</t>
  </si>
  <si>
    <t>Architektura počítačových systémů</t>
  </si>
  <si>
    <t>UIIABP0004</t>
  </si>
  <si>
    <t>Matematika I </t>
  </si>
  <si>
    <t>UIIABP0005</t>
  </si>
  <si>
    <t>Praktická cvičení 1</t>
  </si>
  <si>
    <t>UIIABP0006</t>
  </si>
  <si>
    <t>Úvod do informatiky a výpočetní techniky</t>
  </si>
  <si>
    <t>Algoritmy a programování II</t>
  </si>
  <si>
    <t>Gramatika 2</t>
  </si>
  <si>
    <t>UIIABP0043</t>
  </si>
  <si>
    <t>Interpretace textu 1</t>
  </si>
  <si>
    <t>Matematika II</t>
  </si>
  <si>
    <t>Praktická cvičení 2</t>
  </si>
  <si>
    <t>Úvod do logiky</t>
  </si>
  <si>
    <t>Teorie jazyků a automatů I</t>
  </si>
  <si>
    <t>UIIABP0017</t>
  </si>
  <si>
    <t>Lingvoreálie 2</t>
  </si>
  <si>
    <t>UIIABP0018</t>
  </si>
  <si>
    <t>Odborná praxe III</t>
  </si>
  <si>
    <t>UIIABP0019</t>
  </si>
  <si>
    <t>Praktická cvičení 5</t>
  </si>
  <si>
    <t>UIIABP0020</t>
  </si>
  <si>
    <t>Seminář k bakalářské práci I</t>
  </si>
  <si>
    <t>UIIABP0007</t>
  </si>
  <si>
    <t>Anglická fonetika</t>
  </si>
  <si>
    <t>UIIABP0013</t>
  </si>
  <si>
    <t>UIIABP0014</t>
  </si>
  <si>
    <t>UIIABP0015</t>
  </si>
  <si>
    <t>UIIABP0016</t>
  </si>
  <si>
    <t>Angličtina pro IT 2</t>
  </si>
  <si>
    <t>Architektura operačních systémů</t>
  </si>
  <si>
    <t>Databázové systémy I</t>
  </si>
  <si>
    <t>Informační systémy I</t>
  </si>
  <si>
    <t>Gramatika 1</t>
  </si>
  <si>
    <t>UIIABP0052</t>
  </si>
  <si>
    <t>UIIABP0054</t>
  </si>
  <si>
    <t>UIIABP0055</t>
  </si>
  <si>
    <t>UIIABP0056</t>
  </si>
  <si>
    <t>UIIABP0057</t>
  </si>
  <si>
    <t>Seminář k bakalářské práci II</t>
  </si>
  <si>
    <t>Praktická cvičení 6</t>
  </si>
  <si>
    <t>Anglická lexikologie</t>
  </si>
  <si>
    <t>Úvod do práce s textem</t>
  </si>
  <si>
    <t>Ano</t>
  </si>
  <si>
    <t>Status</t>
  </si>
  <si>
    <t>Projekt</t>
  </si>
  <si>
    <t>Ústní</t>
  </si>
  <si>
    <t>Písemná</t>
  </si>
  <si>
    <t>Seminárka</t>
  </si>
  <si>
    <t>Ne</t>
  </si>
  <si>
    <t>-</t>
  </si>
  <si>
    <t>Ústní, písemná</t>
  </si>
  <si>
    <t>Ústní, písemná, seminárka</t>
  </si>
  <si>
    <t>Počet hotových předmětů</t>
  </si>
  <si>
    <t>Počet kreditů</t>
  </si>
  <si>
    <t>zápočet</t>
  </si>
  <si>
    <t>zkouška</t>
  </si>
  <si>
    <t>Teorie grafů</t>
  </si>
  <si>
    <t>UIIABP0021</t>
  </si>
  <si>
    <t>Vyčíslitelnost a složitost výpočtů</t>
  </si>
  <si>
    <t>UIIABP0022</t>
  </si>
  <si>
    <t>Zpracování přirozeného jazyka I</t>
  </si>
  <si>
    <t>Databázové systémy II</t>
  </si>
  <si>
    <t>UIIABP0023</t>
  </si>
  <si>
    <t>UIIABP0058</t>
  </si>
  <si>
    <t>Gramatika 3</t>
  </si>
  <si>
    <t>Interpretace textu 3</t>
  </si>
  <si>
    <t>Interpretace textu 4</t>
  </si>
  <si>
    <t>UIIABP0024</t>
  </si>
  <si>
    <t>UIIABP0025</t>
  </si>
  <si>
    <t>UIIABP0059</t>
  </si>
  <si>
    <r>
      <t xml:space="preserve">Počet kreditů | </t>
    </r>
    <r>
      <rPr>
        <b/>
        <u/>
        <sz val="14"/>
        <color theme="1"/>
        <rFont val="Calibri"/>
        <family val="2"/>
        <charset val="238"/>
        <scheme val="minor"/>
      </rPr>
      <t>min. 4</t>
    </r>
  </si>
  <si>
    <r>
      <t xml:space="preserve">Počet kreditů | </t>
    </r>
    <r>
      <rPr>
        <b/>
        <u/>
        <sz val="14"/>
        <color theme="1"/>
        <rFont val="Calibri"/>
        <family val="2"/>
        <charset val="238"/>
        <scheme val="minor"/>
      </rPr>
      <t>min. 6</t>
    </r>
  </si>
  <si>
    <t>PVA Filologie | min. 6 kreditů</t>
  </si>
  <si>
    <t>PVA Informatika | min. 4 kredity</t>
  </si>
  <si>
    <t>PVB Aplikovaná informatika | min. 4 kredity</t>
  </si>
  <si>
    <t>UIIABP0060</t>
  </si>
  <si>
    <t>Praktikum ze základů informatiky I</t>
  </si>
  <si>
    <t>Tvorba WWW stránek I</t>
  </si>
  <si>
    <t>Praktikum ze základů informatiky II</t>
  </si>
  <si>
    <t>Ethics of AI</t>
  </si>
  <si>
    <t>Tvorba WWW stránek II</t>
  </si>
  <si>
    <t>Počítačová typografie</t>
  </si>
  <si>
    <t>UIIABP0026</t>
  </si>
  <si>
    <t>UIIABP0027</t>
  </si>
  <si>
    <t>UIINP00001</t>
  </si>
  <si>
    <t>UIIABP0062</t>
  </si>
  <si>
    <t>UIIABP0061</t>
  </si>
  <si>
    <t>Bezpečnost a analýza dat</t>
  </si>
  <si>
    <t>Znalostní a expertní systémy</t>
  </si>
  <si>
    <t>Hardware a komunikační technologie</t>
  </si>
  <si>
    <t>Operační systémy II</t>
  </si>
  <si>
    <t>Informační systémy II</t>
  </si>
  <si>
    <t>Algoritmy a programování III</t>
  </si>
  <si>
    <t>UIIABP0028</t>
  </si>
  <si>
    <t>UIIABP0029</t>
  </si>
  <si>
    <t>UIIABP0063</t>
  </si>
  <si>
    <t>UIIABP0064</t>
  </si>
  <si>
    <t>UIIABP0065</t>
  </si>
  <si>
    <t>UIIABP0030</t>
  </si>
  <si>
    <t>UIIABP0031</t>
  </si>
  <si>
    <t>UIIABP0032</t>
  </si>
  <si>
    <t>UIIABP0033</t>
  </si>
  <si>
    <t>UIIABP0066</t>
  </si>
  <si>
    <t>UIIABP0067</t>
  </si>
  <si>
    <t>UIIABP0068</t>
  </si>
  <si>
    <t>UIIABP0069</t>
  </si>
  <si>
    <t>UIIABP0070</t>
  </si>
  <si>
    <t>UIINP00002</t>
  </si>
  <si>
    <t>UIINP00003</t>
  </si>
  <si>
    <t>PVB Programování | min. 3 kredity</t>
  </si>
  <si>
    <t>PVB Počítačové systémy | min. 4 kredity</t>
  </si>
  <si>
    <t>Objektové programování I</t>
  </si>
  <si>
    <t>Skriptovací jazyky</t>
  </si>
  <si>
    <t>Vývoj mobilních aplikací</t>
  </si>
  <si>
    <t>zima</t>
  </si>
  <si>
    <t>léto</t>
  </si>
  <si>
    <t>Algoritmy a programování IV</t>
  </si>
  <si>
    <t>Objektové programování II</t>
  </si>
  <si>
    <t>Metodiky vývoje software</t>
  </si>
  <si>
    <t>Vývojová prostředí a verzovací systémy</t>
  </si>
  <si>
    <t>Webové aplikace</t>
  </si>
  <si>
    <t>Elements of AI</t>
  </si>
  <si>
    <t>Building AI</t>
  </si>
  <si>
    <t>PVB Rozšiřující blok matematiky a informatiky | min. 2 kredity</t>
  </si>
  <si>
    <t>Seminář z matematiky I</t>
  </si>
  <si>
    <t>UIIABP0034</t>
  </si>
  <si>
    <t>UIIABP0071</t>
  </si>
  <si>
    <t>Seminář z matematiky II</t>
  </si>
  <si>
    <t>UIIABP0072</t>
  </si>
  <si>
    <t>Pravděpodobnost a statistika</t>
  </si>
  <si>
    <t>Umělá inteligence</t>
  </si>
  <si>
    <t>UIIABP0073</t>
  </si>
  <si>
    <r>
      <t xml:space="preserve">Počet kreditů | </t>
    </r>
    <r>
      <rPr>
        <b/>
        <u/>
        <sz val="14"/>
        <color theme="1"/>
        <rFont val="Calibri"/>
        <family val="2"/>
        <charset val="238"/>
        <scheme val="minor"/>
      </rPr>
      <t>min. 2</t>
    </r>
  </si>
  <si>
    <t>PVB Aplikovaná angličtina | min. 6 kreditů</t>
  </si>
  <si>
    <t>UIIABP0035</t>
  </si>
  <si>
    <t>UIIABP0036</t>
  </si>
  <si>
    <t>UIIABP0037</t>
  </si>
  <si>
    <t>UIIABP0038</t>
  </si>
  <si>
    <t>UIIABP0039</t>
  </si>
  <si>
    <t>UIIABP0040</t>
  </si>
  <si>
    <t>UIIABP0074</t>
  </si>
  <si>
    <t>UIIABP0075</t>
  </si>
  <si>
    <t>UIIABP0076</t>
  </si>
  <si>
    <t>UIIABP0077</t>
  </si>
  <si>
    <t>Cvičení z anglické gramatiky</t>
  </si>
  <si>
    <t>Písemná, Ústní</t>
  </si>
  <si>
    <t>Study Skills</t>
  </si>
  <si>
    <t>Anglická úřední korespondence</t>
  </si>
  <si>
    <t>Obchodní angličtina</t>
  </si>
  <si>
    <t>Prezentační dovednosti</t>
  </si>
  <si>
    <t>Prezentace</t>
  </si>
  <si>
    <t>Překladová cvičení 1</t>
  </si>
  <si>
    <t>Komunikační cvičení</t>
  </si>
  <si>
    <t>Překladové cvičení 2</t>
  </si>
  <si>
    <t>Wordbuilding</t>
  </si>
  <si>
    <t>Writing Skills</t>
  </si>
  <si>
    <t>Celkový počet kreditů</t>
  </si>
  <si>
    <r>
      <t xml:space="preserve">Počet kreditů | </t>
    </r>
    <r>
      <rPr>
        <b/>
        <u/>
        <sz val="14"/>
        <color theme="1"/>
        <rFont val="Calibri"/>
        <family val="2"/>
        <charset val="238"/>
        <scheme val="minor"/>
      </rPr>
      <t>min. 3</t>
    </r>
  </si>
  <si>
    <t>Hypotetický počet kreditů</t>
  </si>
  <si>
    <t>Dělám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</si>
</sst>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u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Font="1"/>
    <xf numFmtId="0" fontId="0" fillId="2" borderId="0" xfId="0" applyFont="1" applyFill="1"/>
    <xf numFmtId="0" fontId="2" fillId="0" borderId="0" xfId="1" applyFont="1" applyAlignment="1">
      <alignment horizontal="center" vertical="center"/>
    </xf>
    <xf numFmtId="0" fontId="0" fillId="0" borderId="1" xfId="0" applyBorder="1"/>
    <xf numFmtId="0" fontId="2" fillId="0" borderId="1" xfId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2" fillId="0" borderId="0" xfId="1" applyFill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49"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6" name="Tabulka117" displayName="Tabulka117" ref="A2:G39" totalsRowShown="0" headerRowDxfId="46">
  <autoFilter ref="A2:G39"/>
  <sortState ref="A3:G39">
    <sortCondition ref="A2:A39"/>
  </sortState>
  <tableColumns count="7">
    <tableColumn id="1" name="Semestr"/>
    <tableColumn id="2" name="Kód" dataDxfId="45" dataCellStyle="Hypertextový odkaz"/>
    <tableColumn id="3" name="Název" dataCellStyle="Normální"/>
    <tableColumn id="4" name="Kredity"/>
    <tableColumn id="5" name="Ukončení"/>
    <tableColumn id="6" name="Typ ukončení"/>
    <tableColumn id="7" name="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9" name="Tabulka220" displayName="Tabulka220" ref="A2:G6" totalsRowShown="0" headerRowDxfId="40" headerRowBorderDxfId="39" tableBorderDxfId="38">
  <autoFilter ref="A2:G6"/>
  <sortState ref="A3:G6">
    <sortCondition ref="A3:A7"/>
  </sortState>
  <tableColumns count="7">
    <tableColumn id="1" name="Semestr" dataDxfId="37"/>
    <tableColumn id="2" name="Kód" dataDxfId="36" dataCellStyle="Hypertextový odkaz"/>
    <tableColumn id="3" name="Název"/>
    <tableColumn id="4" name="Kredity"/>
    <tableColumn id="5" name="Ukončení"/>
    <tableColumn id="6" name="Typ ukončení"/>
    <tableColumn id="7" name="Statu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0" name="Tabulka321" displayName="Tabulka321" ref="A15:G18" totalsRowShown="0" headerRowDxfId="35" headerRowBorderDxfId="34" tableBorderDxfId="33">
  <autoFilter ref="A15:G18"/>
  <tableColumns count="7">
    <tableColumn id="1" name="Semestr" dataDxfId="32"/>
    <tableColumn id="2" name="Kód" dataDxfId="31" dataCellStyle="Hypertextový odkaz"/>
    <tableColumn id="3" name="Název"/>
    <tableColumn id="4" name="Kredity"/>
    <tableColumn id="5" name="Ukončení"/>
    <tableColumn id="6" name="Typ ukončení"/>
    <tableColumn id="7" name="Statu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3" name="Tabulka22024" displayName="Tabulka22024" ref="A2:G8" totalsRowShown="0" headerRowDxfId="24" headerRowBorderDxfId="23" tableBorderDxfId="22">
  <autoFilter ref="A2:G8"/>
  <sortState ref="A3:G8">
    <sortCondition ref="B2:B8"/>
  </sortState>
  <tableColumns count="7">
    <tableColumn id="1" name="Semestr" dataDxfId="21"/>
    <tableColumn id="2" name="Kód" dataDxfId="20" dataCellStyle="Hypertextový odkaz"/>
    <tableColumn id="3" name="Název"/>
    <tableColumn id="4" name="Kredity"/>
    <tableColumn id="5" name="Ukončení"/>
    <tableColumn id="6" name="Typ ukončení"/>
    <tableColumn id="7" name="Statu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Tabulka220245" displayName="Tabulka220245" ref="A15:G20" totalsRowShown="0" headerRowDxfId="19" headerRowBorderDxfId="18" tableBorderDxfId="17">
  <autoFilter ref="A15:G20"/>
  <sortState ref="A16:G21">
    <sortCondition ref="A2:A8"/>
  </sortState>
  <tableColumns count="7">
    <tableColumn id="1" name="Semestr" dataDxfId="16"/>
    <tableColumn id="2" name="Kód" dataDxfId="15" dataCellStyle="Hypertextový odkaz"/>
    <tableColumn id="3" name="Název"/>
    <tableColumn id="4" name="Kredity"/>
    <tableColumn id="5" name="Ukončení"/>
    <tableColumn id="6" name="Typ ukončení"/>
    <tableColumn id="7" name="Statu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Tabulka2202456" displayName="Tabulka2202456" ref="A27:G38" totalsRowShown="0" headerRowDxfId="14" headerRowBorderDxfId="13" tableBorderDxfId="12" dataCellStyle="Normální">
  <autoFilter ref="A27:G38"/>
  <sortState ref="A28:G33">
    <sortCondition ref="A2:A8"/>
  </sortState>
  <tableColumns count="7">
    <tableColumn id="1" name="Semestr" dataDxfId="11" dataCellStyle="Normální"/>
    <tableColumn id="2" name="Kód" dataDxfId="10" dataCellStyle="Hypertextový odkaz"/>
    <tableColumn id="3" name="Název" dataCellStyle="Normální"/>
    <tableColumn id="4" name="Kredity" dataCellStyle="Normální"/>
    <tableColumn id="5" name="Ukončení" dataCellStyle="Normální"/>
    <tableColumn id="6" name="Typ ukončení" dataCellStyle="Normální"/>
    <tableColumn id="7" name="Status" dataCellStyle="Normální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6" name="Tabulka2202457" displayName="Tabulka2202457" ref="A45:G49" totalsRowShown="0" headerRowDxfId="9" headerRowBorderDxfId="8" tableBorderDxfId="7">
  <autoFilter ref="A45:G49"/>
  <sortState ref="A46:G51">
    <sortCondition ref="A2:A8"/>
  </sortState>
  <tableColumns count="7">
    <tableColumn id="1" name="Semestr" dataDxfId="6"/>
    <tableColumn id="2" name="Kód" dataDxfId="5" dataCellStyle="Hypertextový odkaz"/>
    <tableColumn id="3" name="Název"/>
    <tableColumn id="4" name="Kredity"/>
    <tableColumn id="5" name="Ukončení"/>
    <tableColumn id="6" name="Typ ukončení"/>
    <tableColumn id="7" name="Statu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7" name="Tabulka22024568" displayName="Tabulka22024568" ref="A56:G66" totalsRowShown="0" headerRowDxfId="4" headerRowBorderDxfId="3" tableBorderDxfId="2" dataCellStyle="Normální">
  <autoFilter ref="A56:G66"/>
  <sortState ref="A57:G62">
    <sortCondition ref="A2:A8"/>
  </sortState>
  <tableColumns count="7">
    <tableColumn id="1" name="Semestr" dataDxfId="1" dataCellStyle="Normální"/>
    <tableColumn id="2" name="Kód" dataDxfId="0" dataCellStyle="Hypertextový odkaz"/>
    <tableColumn id="3" name="Název" dataCellStyle="Normální"/>
    <tableColumn id="4" name="Kredity" dataCellStyle="Normální"/>
    <tableColumn id="5" name="Ukončení" dataCellStyle="Normální"/>
    <tableColumn id="6" name="Typ ukončení" dataCellStyle="Normální"/>
    <tableColumn id="7" name="Status" dataCellStyle="Normální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s.slu.cz/auth/predmet/fpf/leto2024/UIIABP0049" TargetMode="External"/><Relationship Id="rId13" Type="http://schemas.openxmlformats.org/officeDocument/2006/relationships/hyperlink" Target="https://is.slu.cz/auth/predmet/fpf/zima2024/UIIABP0007" TargetMode="External"/><Relationship Id="rId18" Type="http://schemas.openxmlformats.org/officeDocument/2006/relationships/hyperlink" Target="https://is.slu.cz/auth/predmet/fpf/zima2024/UIIABP0008" TargetMode="External"/><Relationship Id="rId26" Type="http://schemas.openxmlformats.org/officeDocument/2006/relationships/hyperlink" Target="https://is.slu.cz/auth/predmet/fpf/zima2023/UIIABP0003" TargetMode="External"/><Relationship Id="rId3" Type="http://schemas.openxmlformats.org/officeDocument/2006/relationships/hyperlink" Target="https://is.slu.cz/auth/predmet/fpf/leto2024/UIIABP0056" TargetMode="External"/><Relationship Id="rId21" Type="http://schemas.openxmlformats.org/officeDocument/2006/relationships/hyperlink" Target="https://is.slu.cz/auth/predmet/fpf/leto2024/UIIABP0044" TargetMode="External"/><Relationship Id="rId7" Type="http://schemas.openxmlformats.org/officeDocument/2006/relationships/hyperlink" Target="https://is.slu.cz/auth/predmet/fpf/zima2024/UIIABP0009" TargetMode="External"/><Relationship Id="rId12" Type="http://schemas.openxmlformats.org/officeDocument/2006/relationships/hyperlink" Target="https://is.slu.cz/auth/predmet/fpf/zima2024/UIIABP0013" TargetMode="External"/><Relationship Id="rId17" Type="http://schemas.openxmlformats.org/officeDocument/2006/relationships/hyperlink" Target="https://is.slu.cz/auth/predmet/fpf/zima2023/UIIABP0017" TargetMode="External"/><Relationship Id="rId25" Type="http://schemas.openxmlformats.org/officeDocument/2006/relationships/hyperlink" Target="https://is.slu.cz/auth/predmet/fpf/zima2023/UIIABP0006" TargetMode="External"/><Relationship Id="rId2" Type="http://schemas.openxmlformats.org/officeDocument/2006/relationships/hyperlink" Target="https://is.slu.cz/auth/predmet/fpf/leto2024/UIIABP0057" TargetMode="External"/><Relationship Id="rId16" Type="http://schemas.openxmlformats.org/officeDocument/2006/relationships/hyperlink" Target="https://is.slu.cz/auth/predmet/fpf/zima2024/UIIABP0018" TargetMode="External"/><Relationship Id="rId20" Type="http://schemas.openxmlformats.org/officeDocument/2006/relationships/hyperlink" Target="https://is.slu.cz/auth/predmet/fpf/leto2024/UIIABP0045" TargetMode="External"/><Relationship Id="rId29" Type="http://schemas.openxmlformats.org/officeDocument/2006/relationships/hyperlink" Target="https://is.slu.cz/auth/predmet/fpf/zima2023/UIIABP0002" TargetMode="External"/><Relationship Id="rId1" Type="http://schemas.openxmlformats.org/officeDocument/2006/relationships/hyperlink" Target="https://is.slu.cz/auth/predmet/fpf/zima2023/UIIABP0001" TargetMode="External"/><Relationship Id="rId6" Type="http://schemas.openxmlformats.org/officeDocument/2006/relationships/hyperlink" Target="https://is.slu.cz/auth/predmet/fpf/zima2024/UIIABP0010" TargetMode="External"/><Relationship Id="rId11" Type="http://schemas.openxmlformats.org/officeDocument/2006/relationships/hyperlink" Target="https://is.slu.cz/auth/predmet/fpf/zima2024/UIIABP0012" TargetMode="External"/><Relationship Id="rId24" Type="http://schemas.openxmlformats.org/officeDocument/2006/relationships/hyperlink" Target="https://is.slu.cz/auth/predmet/fpf/leto2024/UIIABP0041" TargetMode="External"/><Relationship Id="rId5" Type="http://schemas.openxmlformats.org/officeDocument/2006/relationships/hyperlink" Target="https://is.slu.cz/auth/predmet/fpf/zima2024/UIIABP0011" TargetMode="External"/><Relationship Id="rId15" Type="http://schemas.openxmlformats.org/officeDocument/2006/relationships/hyperlink" Target="https://is.slu.cz/auth/predmet/fpf/zima2024/UIIABP0019" TargetMode="External"/><Relationship Id="rId23" Type="http://schemas.openxmlformats.org/officeDocument/2006/relationships/hyperlink" Target="https://is.slu.cz/auth/predmet/fpf/leto2024/UIIABP0042" TargetMode="External"/><Relationship Id="rId28" Type="http://schemas.openxmlformats.org/officeDocument/2006/relationships/hyperlink" Target="https://is.slu.cz/auth/predmet/fpf/zima2023/UIIABP0003" TargetMode="External"/><Relationship Id="rId10" Type="http://schemas.openxmlformats.org/officeDocument/2006/relationships/hyperlink" Target="https://is.slu.cz/auth/predmet/fpf/zima2024/UIIABP0054" TargetMode="External"/><Relationship Id="rId19" Type="http://schemas.openxmlformats.org/officeDocument/2006/relationships/hyperlink" Target="https://is.slu.cz/auth/predmet/fpf/leto2024/UIIABP0047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is.slu.cz/auth/predmet/fpf/leto2024/UIIABP0050" TargetMode="External"/><Relationship Id="rId9" Type="http://schemas.openxmlformats.org/officeDocument/2006/relationships/hyperlink" Target="https://is.slu.cz/auth/predmet/fpf/leto2024/UIIABP0046" TargetMode="External"/><Relationship Id="rId14" Type="http://schemas.openxmlformats.org/officeDocument/2006/relationships/hyperlink" Target="https://is.slu.cz/auth/predmet/fpf/leto2024/UIIABP0048" TargetMode="External"/><Relationship Id="rId22" Type="http://schemas.openxmlformats.org/officeDocument/2006/relationships/hyperlink" Target="https://is.slu.cz/auth/predmet/fpf/leto2024/UIIABP0042" TargetMode="External"/><Relationship Id="rId27" Type="http://schemas.openxmlformats.org/officeDocument/2006/relationships/hyperlink" Target="https://is.slu.cz/auth/predmet/fpf/zima2023/UIIABP0003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is.slu.cz/auth/predmet/fpf/zima2024/UIIABP0023" TargetMode="External"/><Relationship Id="rId7" Type="http://schemas.openxmlformats.org/officeDocument/2006/relationships/hyperlink" Target="https://is.slu.cz/auth/predmet/fpf/zima2024/UIIABP0059" TargetMode="External"/><Relationship Id="rId2" Type="http://schemas.openxmlformats.org/officeDocument/2006/relationships/hyperlink" Target="https://is.slu.cz/auth/predmet/fpf/zima2024/UIIABP0022" TargetMode="External"/><Relationship Id="rId1" Type="http://schemas.openxmlformats.org/officeDocument/2006/relationships/hyperlink" Target="https://is.slu.cz/auth/predmet/fpf/zima2024/UIIABP0021" TargetMode="External"/><Relationship Id="rId6" Type="http://schemas.openxmlformats.org/officeDocument/2006/relationships/hyperlink" Target="https://is.slu.cz/auth/predmet/fpf/zima2023/UIIABP0025" TargetMode="External"/><Relationship Id="rId5" Type="http://schemas.openxmlformats.org/officeDocument/2006/relationships/hyperlink" Target="https://is.slu.cz/auth/predmet/fpf/zima2024/UIIABP0024" TargetMode="External"/><Relationship Id="rId4" Type="http://schemas.openxmlformats.org/officeDocument/2006/relationships/hyperlink" Target="https://is.slu.cz/auth/predmet/fpf/leto2024/UIIABP0058" TargetMode="External"/><Relationship Id="rId9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is.slu.cz/auth/predmet/fpf/zima2024/UIIABP0031" TargetMode="External"/><Relationship Id="rId18" Type="http://schemas.openxmlformats.org/officeDocument/2006/relationships/hyperlink" Target="https://is.slu.cz/auth/predmet/fpf/leto2025/UIIABP0068" TargetMode="External"/><Relationship Id="rId26" Type="http://schemas.openxmlformats.org/officeDocument/2006/relationships/hyperlink" Target="https://is.slu.cz/auth/predmet/fpf/leto2024/UIIABP0073" TargetMode="External"/><Relationship Id="rId39" Type="http://schemas.openxmlformats.org/officeDocument/2006/relationships/table" Target="../tables/table5.xml"/><Relationship Id="rId21" Type="http://schemas.openxmlformats.org/officeDocument/2006/relationships/hyperlink" Target="https://is.slu.cz/auth/predmet/fpf/leto2025/UIINP00002" TargetMode="External"/><Relationship Id="rId34" Type="http://schemas.openxmlformats.org/officeDocument/2006/relationships/hyperlink" Target="https://is.slu.cz/auth/predmet/fpf/leto2025/UIIABP0075" TargetMode="External"/><Relationship Id="rId42" Type="http://schemas.openxmlformats.org/officeDocument/2006/relationships/table" Target="../tables/table8.xml"/><Relationship Id="rId7" Type="http://schemas.openxmlformats.org/officeDocument/2006/relationships/hyperlink" Target="https://is.slu.cz/auth/predmet/fpf/zima2024/UIIABP0028" TargetMode="External"/><Relationship Id="rId2" Type="http://schemas.openxmlformats.org/officeDocument/2006/relationships/hyperlink" Target="https://is.slu.cz/auth/predmet/fpf/zima2024/UIIABP0027" TargetMode="External"/><Relationship Id="rId16" Type="http://schemas.openxmlformats.org/officeDocument/2006/relationships/hyperlink" Target="https://is.slu.cz/auth/predmet/fpf/leto2025/UIIABP0066" TargetMode="External"/><Relationship Id="rId20" Type="http://schemas.openxmlformats.org/officeDocument/2006/relationships/hyperlink" Target="https://is.slu.cz/auth/predmet/fpf/leto2025/UIIABP0070" TargetMode="External"/><Relationship Id="rId29" Type="http://schemas.openxmlformats.org/officeDocument/2006/relationships/hyperlink" Target="https://is.slu.cz/auth/predmet/fpf/zima2024/UIIABP0037" TargetMode="External"/><Relationship Id="rId41" Type="http://schemas.openxmlformats.org/officeDocument/2006/relationships/table" Target="../tables/table7.xml"/><Relationship Id="rId1" Type="http://schemas.openxmlformats.org/officeDocument/2006/relationships/hyperlink" Target="https://is.slu.cz/auth/predmet/fpf/zima2023/UIIABP0026" TargetMode="External"/><Relationship Id="rId6" Type="http://schemas.openxmlformats.org/officeDocument/2006/relationships/hyperlink" Target="https://is.slu.cz/auth/predmet/fpf/leto2024/UIIABP0061" TargetMode="External"/><Relationship Id="rId11" Type="http://schemas.openxmlformats.org/officeDocument/2006/relationships/hyperlink" Target="https://is.slu.cz/auth/predmet/fpf/leto2025/UIIABP0065" TargetMode="External"/><Relationship Id="rId24" Type="http://schemas.openxmlformats.org/officeDocument/2006/relationships/hyperlink" Target="https://is.slu.cz/auth/predmet/fpf/leto2025/UIIABP0071" TargetMode="External"/><Relationship Id="rId32" Type="http://schemas.openxmlformats.org/officeDocument/2006/relationships/hyperlink" Target="https://is.slu.cz/auth/predmet/fpf/zima2024/UIIABP0040" TargetMode="External"/><Relationship Id="rId37" Type="http://schemas.openxmlformats.org/officeDocument/2006/relationships/printerSettings" Target="../printerSettings/printerSettings2.bin"/><Relationship Id="rId40" Type="http://schemas.openxmlformats.org/officeDocument/2006/relationships/table" Target="../tables/table6.xml"/><Relationship Id="rId5" Type="http://schemas.openxmlformats.org/officeDocument/2006/relationships/hyperlink" Target="https://is.slu.cz/auth/predmet/fpf/leto2024/UIIABP0062" TargetMode="External"/><Relationship Id="rId15" Type="http://schemas.openxmlformats.org/officeDocument/2006/relationships/hyperlink" Target="https://is.slu.cz/auth/predmet/fpf/zima2024/UIIABP0033" TargetMode="External"/><Relationship Id="rId23" Type="http://schemas.openxmlformats.org/officeDocument/2006/relationships/hyperlink" Target="https://is.slu.cz/auth/predmet/fpf/zima2024/UIIABP0034" TargetMode="External"/><Relationship Id="rId28" Type="http://schemas.openxmlformats.org/officeDocument/2006/relationships/hyperlink" Target="https://is.slu.cz/auth/predmet/fpf/zima2023/UIIABP0036" TargetMode="External"/><Relationship Id="rId36" Type="http://schemas.openxmlformats.org/officeDocument/2006/relationships/hyperlink" Target="https://is.slu.cz/auth/predmet/fpf/leto2025/UIIABP0077" TargetMode="External"/><Relationship Id="rId10" Type="http://schemas.openxmlformats.org/officeDocument/2006/relationships/hyperlink" Target="https://is.slu.cz/auth/predmet/fpf/leto2025/UIIABP0064" TargetMode="External"/><Relationship Id="rId19" Type="http://schemas.openxmlformats.org/officeDocument/2006/relationships/hyperlink" Target="https://is.slu.cz/auth/predmet/fpf/leto2025/UIIABP0069" TargetMode="External"/><Relationship Id="rId31" Type="http://schemas.openxmlformats.org/officeDocument/2006/relationships/hyperlink" Target="https://is.slu.cz/auth/predmet/fpf/zima2024/UIIABP0039" TargetMode="External"/><Relationship Id="rId4" Type="http://schemas.openxmlformats.org/officeDocument/2006/relationships/hyperlink" Target="https://is.slu.cz/auth/predmet/fpf/leto2024/UIINP00001" TargetMode="External"/><Relationship Id="rId9" Type="http://schemas.openxmlformats.org/officeDocument/2006/relationships/hyperlink" Target="https://is.slu.cz/auth/predmet/fpf/leto2025/UIIABP0063" TargetMode="External"/><Relationship Id="rId14" Type="http://schemas.openxmlformats.org/officeDocument/2006/relationships/hyperlink" Target="https://is.slu.cz/auth/predmet/fpf/zima2024/UIIABP0032" TargetMode="External"/><Relationship Id="rId22" Type="http://schemas.openxmlformats.org/officeDocument/2006/relationships/hyperlink" Target="https://is.slu.cz/auth/predmet/fpf/leto2025/UIINP00003" TargetMode="External"/><Relationship Id="rId27" Type="http://schemas.openxmlformats.org/officeDocument/2006/relationships/hyperlink" Target="https://is.slu.cz/auth/predmet/fpf/zima2023/UIIABP0035" TargetMode="External"/><Relationship Id="rId30" Type="http://schemas.openxmlformats.org/officeDocument/2006/relationships/hyperlink" Target="https://is.slu.cz/auth/predmet/fpf/zima2024/UIIABP0038" TargetMode="External"/><Relationship Id="rId35" Type="http://schemas.openxmlformats.org/officeDocument/2006/relationships/hyperlink" Target="https://is.slu.cz/auth/predmet/fpf/leto2025/UIIABP0076" TargetMode="External"/><Relationship Id="rId8" Type="http://schemas.openxmlformats.org/officeDocument/2006/relationships/hyperlink" Target="https://is.slu.cz/auth/predmet/fpf/zima2024/UIIABP0029" TargetMode="External"/><Relationship Id="rId3" Type="http://schemas.openxmlformats.org/officeDocument/2006/relationships/hyperlink" Target="https://is.slu.cz/auth/predmet/fpf/leto2024/UIIABP0060" TargetMode="External"/><Relationship Id="rId12" Type="http://schemas.openxmlformats.org/officeDocument/2006/relationships/hyperlink" Target="https://is.slu.cz/auth/predmet/fpf/zima2024/UIIABP0030" TargetMode="External"/><Relationship Id="rId17" Type="http://schemas.openxmlformats.org/officeDocument/2006/relationships/hyperlink" Target="https://is.slu.cz/auth/predmet/fpf/leto2025/UIIABP0067" TargetMode="External"/><Relationship Id="rId25" Type="http://schemas.openxmlformats.org/officeDocument/2006/relationships/hyperlink" Target="https://is.slu.cz/auth/predmet/fpf/leto2025/UIIABP0072" TargetMode="External"/><Relationship Id="rId33" Type="http://schemas.openxmlformats.org/officeDocument/2006/relationships/hyperlink" Target="https://is.slu.cz/auth/predmet/fpf/leto2024/UIIABP0074" TargetMode="External"/><Relationship Id="rId3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topLeftCell="A4" workbookViewId="0">
      <selection activeCell="G12" sqref="G12"/>
    </sheetView>
  </sheetViews>
  <sheetFormatPr defaultRowHeight="15" x14ac:dyDescent="0.25"/>
  <cols>
    <col min="1" max="1" width="12.42578125" customWidth="1"/>
    <col min="2" max="2" width="13.7109375" customWidth="1"/>
    <col min="3" max="3" width="38" customWidth="1"/>
    <col min="4" max="4" width="11" customWidth="1"/>
    <col min="5" max="5" width="14" customWidth="1"/>
    <col min="6" max="6" width="18.42578125" customWidth="1"/>
    <col min="7" max="7" width="12.42578125" customWidth="1"/>
    <col min="12" max="12" width="14.85546875" customWidth="1"/>
  </cols>
  <sheetData>
    <row r="1" spans="1:12" ht="39.75" customHeight="1" x14ac:dyDescent="0.25">
      <c r="A1" s="21" t="s">
        <v>18</v>
      </c>
      <c r="B1" s="21"/>
      <c r="C1" s="21"/>
      <c r="D1" s="21"/>
      <c r="E1" s="21"/>
      <c r="F1" s="21"/>
      <c r="G1" s="21"/>
    </row>
    <row r="2" spans="1:12" ht="28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82</v>
      </c>
    </row>
    <row r="3" spans="1:12" ht="15" customHeight="1" x14ac:dyDescent="0.25">
      <c r="A3">
        <v>1</v>
      </c>
      <c r="B3" s="2" t="s">
        <v>19</v>
      </c>
      <c r="C3" t="s">
        <v>37</v>
      </c>
      <c r="D3">
        <v>4</v>
      </c>
      <c r="E3" t="s">
        <v>93</v>
      </c>
      <c r="F3" t="s">
        <v>83</v>
      </c>
      <c r="G3" t="s">
        <v>81</v>
      </c>
      <c r="I3" s="22" t="s">
        <v>91</v>
      </c>
      <c r="J3" s="22"/>
      <c r="K3" s="22"/>
      <c r="L3" s="9" t="str">
        <f>COUNTIF(Tabulka117[Status],"Ano")&amp;" / "&amp;COUNTIF(Tabulka117[Status],"*")</f>
        <v>36 / 37</v>
      </c>
    </row>
    <row r="4" spans="1:12" x14ac:dyDescent="0.25">
      <c r="A4">
        <v>1</v>
      </c>
      <c r="B4" s="2" t="s">
        <v>20</v>
      </c>
      <c r="C4" t="s">
        <v>38</v>
      </c>
      <c r="D4">
        <v>3</v>
      </c>
      <c r="E4" t="s">
        <v>94</v>
      </c>
      <c r="F4" t="s">
        <v>84</v>
      </c>
      <c r="G4" t="s">
        <v>81</v>
      </c>
    </row>
    <row r="5" spans="1:12" ht="15" customHeight="1" x14ac:dyDescent="0.25">
      <c r="A5">
        <v>1</v>
      </c>
      <c r="B5" s="2" t="s">
        <v>21</v>
      </c>
      <c r="C5" t="s">
        <v>71</v>
      </c>
      <c r="D5">
        <v>3</v>
      </c>
      <c r="E5" t="s">
        <v>94</v>
      </c>
      <c r="F5" t="s">
        <v>85</v>
      </c>
      <c r="G5" t="s">
        <v>81</v>
      </c>
      <c r="I5" s="22" t="s">
        <v>92</v>
      </c>
      <c r="J5" s="22"/>
      <c r="K5" s="22"/>
      <c r="L5" s="9" t="str">
        <f>SUMIFS(Tabulka117[Kredity], Tabulka117[Status],"Ano")&amp;" / "&amp;SUM(Tabulka117[Kredity])</f>
        <v>144 / 147</v>
      </c>
    </row>
    <row r="6" spans="1:12" x14ac:dyDescent="0.25">
      <c r="A6">
        <v>1</v>
      </c>
      <c r="B6" s="2" t="s">
        <v>39</v>
      </c>
      <c r="C6" t="s">
        <v>40</v>
      </c>
      <c r="D6">
        <v>6</v>
      </c>
      <c r="E6" t="s">
        <v>94</v>
      </c>
      <c r="F6" t="s">
        <v>85</v>
      </c>
      <c r="G6" t="s">
        <v>81</v>
      </c>
    </row>
    <row r="7" spans="1:12" x14ac:dyDescent="0.25">
      <c r="A7">
        <v>1</v>
      </c>
      <c r="B7" s="2" t="s">
        <v>41</v>
      </c>
      <c r="C7" t="s">
        <v>42</v>
      </c>
      <c r="D7">
        <v>6</v>
      </c>
      <c r="E7" t="s">
        <v>94</v>
      </c>
      <c r="F7" t="s">
        <v>85</v>
      </c>
      <c r="G7" t="s">
        <v>81</v>
      </c>
    </row>
    <row r="8" spans="1:12" x14ac:dyDescent="0.25">
      <c r="A8">
        <v>1</v>
      </c>
      <c r="B8" s="2" t="s">
        <v>43</v>
      </c>
      <c r="C8" t="s">
        <v>44</v>
      </c>
      <c r="D8">
        <v>3</v>
      </c>
      <c r="E8" t="s">
        <v>94</v>
      </c>
      <c r="F8" t="s">
        <v>84</v>
      </c>
      <c r="G8" t="s">
        <v>81</v>
      </c>
    </row>
    <row r="9" spans="1:12" x14ac:dyDescent="0.25">
      <c r="A9" s="6">
        <v>2</v>
      </c>
      <c r="B9" s="7" t="s">
        <v>22</v>
      </c>
      <c r="C9" s="6" t="s">
        <v>45</v>
      </c>
      <c r="D9" s="6">
        <v>5</v>
      </c>
      <c r="E9" t="s">
        <v>94</v>
      </c>
      <c r="F9" s="6" t="s">
        <v>85</v>
      </c>
      <c r="G9" s="6" t="s">
        <v>81</v>
      </c>
    </row>
    <row r="10" spans="1:12" x14ac:dyDescent="0.25">
      <c r="A10" s="6">
        <v>2</v>
      </c>
      <c r="B10" s="7" t="s">
        <v>23</v>
      </c>
      <c r="C10" s="6" t="s">
        <v>46</v>
      </c>
      <c r="D10" s="6">
        <v>3</v>
      </c>
      <c r="E10" t="s">
        <v>94</v>
      </c>
      <c r="F10" s="6" t="s">
        <v>85</v>
      </c>
      <c r="G10" s="6" t="s">
        <v>81</v>
      </c>
    </row>
    <row r="11" spans="1:12" x14ac:dyDescent="0.25">
      <c r="A11" s="6">
        <v>2</v>
      </c>
      <c r="B11" s="7" t="s">
        <v>47</v>
      </c>
      <c r="C11" s="6" t="s">
        <v>48</v>
      </c>
      <c r="D11" s="6">
        <v>3</v>
      </c>
      <c r="E11" t="s">
        <v>94</v>
      </c>
      <c r="F11" s="6" t="s">
        <v>85</v>
      </c>
      <c r="G11" s="6" t="s">
        <v>198</v>
      </c>
    </row>
    <row r="12" spans="1:12" x14ac:dyDescent="0.25">
      <c r="A12" s="6">
        <v>2</v>
      </c>
      <c r="B12" s="7" t="s">
        <v>24</v>
      </c>
      <c r="C12" s="6" t="s">
        <v>49</v>
      </c>
      <c r="D12" s="6">
        <v>6</v>
      </c>
      <c r="E12" t="s">
        <v>94</v>
      </c>
      <c r="F12" s="6" t="s">
        <v>85</v>
      </c>
      <c r="G12" s="6" t="s">
        <v>81</v>
      </c>
    </row>
    <row r="13" spans="1:12" x14ac:dyDescent="0.25">
      <c r="A13" s="6">
        <v>2</v>
      </c>
      <c r="B13" s="7" t="s">
        <v>25</v>
      </c>
      <c r="C13" s="6" t="s">
        <v>50</v>
      </c>
      <c r="D13" s="6">
        <v>5</v>
      </c>
      <c r="E13" t="s">
        <v>94</v>
      </c>
      <c r="F13" s="6" t="s">
        <v>85</v>
      </c>
      <c r="G13" s="6" t="s">
        <v>81</v>
      </c>
    </row>
    <row r="14" spans="1:12" ht="18.75" x14ac:dyDescent="0.3">
      <c r="A14" s="6">
        <v>2</v>
      </c>
      <c r="B14" s="7" t="s">
        <v>26</v>
      </c>
      <c r="C14" s="6" t="s">
        <v>51</v>
      </c>
      <c r="D14" s="6">
        <v>6</v>
      </c>
      <c r="E14" t="s">
        <v>94</v>
      </c>
      <c r="F14" s="6" t="s">
        <v>85</v>
      </c>
      <c r="G14" s="6" t="s">
        <v>81</v>
      </c>
      <c r="I14" s="22" t="s">
        <v>195</v>
      </c>
      <c r="J14" s="22"/>
      <c r="K14" s="22"/>
      <c r="L14" s="19" t="str">
        <f>(
 IFERROR(SUMIFS(Tabulka117[Kredity], Tabulka117[Status], "Ano"), 0)
 +IFERROR(SUMIFS(Tabulka220[Kredity], Tabulka220[Status], "Ano"), 0)
 +IFERROR(SUMIFS(Tabulka321[Kredity], Tabulka321[Status], "Ano"), 0)
 +IFERROR(SUMIFS(Tabulka22024[Kredity], Tabulka22024[Status], "Ano"), 0)
 +IFERROR(SUMIFS(Tabulka220245[Kredity], Tabulka220245[Status], "Ano"), 0)
 +IFERROR(SUMIFS(Tabulka2202456[Kredity], Tabulka2202456[Status], "Ano"), 0)
 +IFERROR(SUMIFS(Tabulka2202457[Kredity], Tabulka2202457[Status], "Ano"), 0)
 +IFERROR(SUMIFS(Tabulka22024568[Kredity], Tabulka22024568[Status], "Ano"), 0)
)
&amp;" / "&amp;
(
 IFERROR(SUM(Tabulka117[Kredity]), 0)
 +IFERROR(SUM(Tabulka220[Kredity]), 0)
 +IFERROR(SUM(Tabulka321[Kredity]), 0)
 +IFERROR(SUM(Tabulka22024[Kredity]), 0)
 +IFERROR(SUM(Tabulka220245[Kredity]), 0)
 +IFERROR(SUM(Tabulka2202456[Kredity]), 0)
 +IFERROR(SUM(Tabulka2202457[Kredity]), 0)
 +IFERROR(SUM(Tabulka22024568[Kredity]), 0)
)</f>
        <v>177 / 270</v>
      </c>
    </row>
    <row r="15" spans="1:12" x14ac:dyDescent="0.25">
      <c r="A15">
        <v>3</v>
      </c>
      <c r="B15" s="2" t="s">
        <v>61</v>
      </c>
      <c r="C15" t="s">
        <v>62</v>
      </c>
      <c r="D15">
        <v>3</v>
      </c>
      <c r="E15" t="s">
        <v>94</v>
      </c>
      <c r="F15" t="s">
        <v>86</v>
      </c>
      <c r="G15" t="s">
        <v>81</v>
      </c>
    </row>
    <row r="16" spans="1:12" ht="18.75" x14ac:dyDescent="0.3">
      <c r="A16">
        <v>3</v>
      </c>
      <c r="B16" s="2" t="s">
        <v>27</v>
      </c>
      <c r="C16" t="s">
        <v>36</v>
      </c>
      <c r="D16">
        <v>3</v>
      </c>
      <c r="E16" t="s">
        <v>94</v>
      </c>
      <c r="F16" t="s">
        <v>84</v>
      </c>
      <c r="G16" t="s">
        <v>81</v>
      </c>
      <c r="I16" s="22" t="s">
        <v>197</v>
      </c>
      <c r="J16" s="22"/>
      <c r="K16" s="22"/>
      <c r="L16" s="19" t="str">
        <f>(
 IFERROR(SUMIFS(Tabulka117[Kredity], Tabulka117[Status], "Ano") + SUMIFS(Tabulka117[Kredity], Tabulka117[Status], "Dělám"), 0)
+IFERROR(SUMIFS(Tabulka220[Kredity], Tabulka220[Status], "Ano") + SUMIFS(Tabulka220[Kredity], Tabulka220[Status], "Dělám"), 0)
+IFERROR(SUMIFS(Tabulka321[Kredity], Tabulka321[Status], "Ano") + SUMIFS(Tabulka321[Kredity], Tabulka321[Status], "Dělám"), 0)
+IFERROR(SUMIFS(Tabulka22024[Kredity], Tabulka22024[Status], "Ano") + SUMIFS(Tabulka22024[Kredity], Tabulka22024[Status], "Dělám"), 0)
+IFERROR(SUMIFS(Tabulka220245[Kredity], Tabulka220245[Status], "Ano") + SUMIFS(Tabulka220245[Kredity], Tabulka220245[Status], "Dělám"), 0)
+IFERROR(SUMIFS(Tabulka2202456[Kredity], Tabulka2202456[Status], "Ano") + SUMIFS(Tabulka2202456[Kredity], Tabulka2202456[Status], "Dělám"), 0)
+IFERROR(SUMIFS(Tabulka2202457[Kredity], Tabulka2202457[Status], "Ano") + SUMIFS(Tabulka2202457[Kredity], Tabulka2202457[Status], "Dělám"), 0)
+IFERROR(SUMIFS(Tabulka22024568[Kredity], Tabulka22024568[Status], "Ano") + SUMIFS(Tabulka22024568[Kredity], Tabulka22024568[Status], "Dělám"), 0)
)
&amp;" / "&amp;
(
 IFERROR(SUM(Tabulka117[Kredity]), 0)
+IFERROR(SUM(Tabulka220[Kredity]), 0)
+IFERROR(SUM(Tabulka321[Kredity]), 0)
+IFERROR(SUM(Tabulka22024[Kredity]), 0)
+IFERROR(SUM(Tabulka220245[Kredity]), 0)
+IFERROR(SUM(Tabulka2202456[Kredity]), 0)
+IFERROR(SUM(Tabulka2202457[Kredity]), 0)
+IFERROR(SUM(Tabulka22024568[Kredity]), 0)
)</f>
        <v>186 / 270</v>
      </c>
    </row>
    <row r="17" spans="1:11" x14ac:dyDescent="0.25">
      <c r="A17">
        <v>3</v>
      </c>
      <c r="B17" s="2" t="s">
        <v>30</v>
      </c>
      <c r="C17" t="s">
        <v>33</v>
      </c>
      <c r="D17">
        <v>6</v>
      </c>
      <c r="E17" t="s">
        <v>93</v>
      </c>
      <c r="F17" t="s">
        <v>88</v>
      </c>
      <c r="G17" t="s">
        <v>81</v>
      </c>
    </row>
    <row r="18" spans="1:11" x14ac:dyDescent="0.25">
      <c r="A18">
        <v>3</v>
      </c>
      <c r="B18" s="2" t="s">
        <v>29</v>
      </c>
      <c r="C18" t="s">
        <v>34</v>
      </c>
      <c r="D18">
        <v>2</v>
      </c>
      <c r="E18" t="s">
        <v>93</v>
      </c>
      <c r="F18" t="s">
        <v>85</v>
      </c>
      <c r="G18" t="s">
        <v>81</v>
      </c>
      <c r="I18" s="20"/>
      <c r="J18" s="20"/>
      <c r="K18" s="20"/>
    </row>
    <row r="19" spans="1:11" x14ac:dyDescent="0.25">
      <c r="A19">
        <v>3</v>
      </c>
      <c r="B19" s="2" t="s">
        <v>28</v>
      </c>
      <c r="C19" t="s">
        <v>35</v>
      </c>
      <c r="D19">
        <v>3</v>
      </c>
      <c r="E19" t="s">
        <v>94</v>
      </c>
      <c r="F19" t="s">
        <v>89</v>
      </c>
      <c r="G19" t="s">
        <v>81</v>
      </c>
    </row>
    <row r="20" spans="1:11" x14ac:dyDescent="0.25">
      <c r="A20">
        <v>3</v>
      </c>
      <c r="B20" s="2" t="s">
        <v>31</v>
      </c>
      <c r="C20" t="s">
        <v>32</v>
      </c>
      <c r="D20">
        <v>5</v>
      </c>
      <c r="E20" t="s">
        <v>94</v>
      </c>
      <c r="F20" t="s">
        <v>85</v>
      </c>
      <c r="G20" t="s">
        <v>81</v>
      </c>
    </row>
    <row r="21" spans="1:11" x14ac:dyDescent="0.25">
      <c r="A21">
        <v>3</v>
      </c>
      <c r="B21" s="2" t="s">
        <v>73</v>
      </c>
      <c r="C21" t="s">
        <v>80</v>
      </c>
      <c r="D21">
        <v>3</v>
      </c>
      <c r="E21" t="s">
        <v>94</v>
      </c>
      <c r="F21" t="s">
        <v>85</v>
      </c>
      <c r="G21" t="s">
        <v>81</v>
      </c>
    </row>
    <row r="22" spans="1:11" x14ac:dyDescent="0.25">
      <c r="A22">
        <v>4</v>
      </c>
      <c r="B22" s="2" t="s">
        <v>7</v>
      </c>
      <c r="C22" t="s">
        <v>52</v>
      </c>
      <c r="D22">
        <v>6</v>
      </c>
      <c r="E22" t="s">
        <v>94</v>
      </c>
      <c r="F22" t="s">
        <v>85</v>
      </c>
      <c r="G22" t="s">
        <v>81</v>
      </c>
    </row>
    <row r="23" spans="1:11" x14ac:dyDescent="0.25">
      <c r="A23">
        <v>4</v>
      </c>
      <c r="B23" s="2" t="s">
        <v>8</v>
      </c>
      <c r="C23" t="s">
        <v>13</v>
      </c>
      <c r="D23">
        <v>3</v>
      </c>
      <c r="E23" t="s">
        <v>94</v>
      </c>
      <c r="F23" t="s">
        <v>85</v>
      </c>
      <c r="G23" t="s">
        <v>81</v>
      </c>
    </row>
    <row r="24" spans="1:11" x14ac:dyDescent="0.25">
      <c r="A24">
        <v>4</v>
      </c>
      <c r="B24" s="2" t="s">
        <v>6</v>
      </c>
      <c r="C24" t="s">
        <v>12</v>
      </c>
      <c r="D24">
        <v>3</v>
      </c>
      <c r="E24" t="s">
        <v>94</v>
      </c>
      <c r="F24" t="s">
        <v>85</v>
      </c>
      <c r="G24" t="s">
        <v>81</v>
      </c>
    </row>
    <row r="25" spans="1:11" x14ac:dyDescent="0.25">
      <c r="A25">
        <v>4</v>
      </c>
      <c r="B25" s="2" t="s">
        <v>10</v>
      </c>
      <c r="C25" t="s">
        <v>15</v>
      </c>
      <c r="D25">
        <v>6</v>
      </c>
      <c r="E25" t="s">
        <v>93</v>
      </c>
      <c r="F25" t="s">
        <v>88</v>
      </c>
      <c r="G25" t="s">
        <v>81</v>
      </c>
    </row>
    <row r="26" spans="1:11" x14ac:dyDescent="0.25">
      <c r="A26">
        <v>4</v>
      </c>
      <c r="B26" s="2" t="s">
        <v>72</v>
      </c>
      <c r="C26" t="s">
        <v>16</v>
      </c>
      <c r="D26">
        <v>6</v>
      </c>
      <c r="E26" t="s">
        <v>94</v>
      </c>
      <c r="F26" t="s">
        <v>84</v>
      </c>
      <c r="G26" t="s">
        <v>81</v>
      </c>
    </row>
    <row r="27" spans="1:11" x14ac:dyDescent="0.25">
      <c r="A27">
        <v>4</v>
      </c>
      <c r="B27" s="2" t="s">
        <v>11</v>
      </c>
      <c r="C27" t="s">
        <v>17</v>
      </c>
      <c r="D27">
        <v>3</v>
      </c>
      <c r="E27" t="s">
        <v>94</v>
      </c>
      <c r="F27" t="s">
        <v>85</v>
      </c>
      <c r="G27" t="s">
        <v>81</v>
      </c>
    </row>
    <row r="28" spans="1:11" x14ac:dyDescent="0.25">
      <c r="A28">
        <v>4</v>
      </c>
      <c r="B28" s="2" t="s">
        <v>9</v>
      </c>
      <c r="C28" t="s">
        <v>14</v>
      </c>
      <c r="D28">
        <v>2</v>
      </c>
      <c r="E28" t="s">
        <v>94</v>
      </c>
      <c r="F28" t="s">
        <v>89</v>
      </c>
      <c r="G28" t="s">
        <v>81</v>
      </c>
    </row>
    <row r="29" spans="1:11" x14ac:dyDescent="0.25">
      <c r="A29">
        <v>5</v>
      </c>
      <c r="B29" s="2" t="s">
        <v>64</v>
      </c>
      <c r="C29" t="s">
        <v>68</v>
      </c>
      <c r="D29">
        <v>4</v>
      </c>
      <c r="E29" t="s">
        <v>94</v>
      </c>
      <c r="F29" t="s">
        <v>89</v>
      </c>
      <c r="G29" t="s">
        <v>81</v>
      </c>
    </row>
    <row r="30" spans="1:11" x14ac:dyDescent="0.25">
      <c r="A30">
        <v>5</v>
      </c>
      <c r="B30" s="2" t="s">
        <v>65</v>
      </c>
      <c r="C30" t="s">
        <v>69</v>
      </c>
      <c r="D30">
        <v>6</v>
      </c>
      <c r="E30" t="s">
        <v>94</v>
      </c>
      <c r="F30" t="s">
        <v>85</v>
      </c>
      <c r="G30" t="s">
        <v>81</v>
      </c>
    </row>
    <row r="31" spans="1:11" x14ac:dyDescent="0.25">
      <c r="A31">
        <v>5</v>
      </c>
      <c r="B31" s="2" t="s">
        <v>66</v>
      </c>
      <c r="C31" t="s">
        <v>70</v>
      </c>
      <c r="D31">
        <v>5</v>
      </c>
      <c r="E31" t="s">
        <v>94</v>
      </c>
      <c r="F31" t="s">
        <v>89</v>
      </c>
      <c r="G31" t="s">
        <v>81</v>
      </c>
    </row>
    <row r="32" spans="1:11" x14ac:dyDescent="0.25">
      <c r="A32">
        <v>5</v>
      </c>
      <c r="B32" s="2" t="s">
        <v>59</v>
      </c>
      <c r="C32" t="s">
        <v>60</v>
      </c>
      <c r="D32">
        <v>2</v>
      </c>
      <c r="E32" t="s">
        <v>93</v>
      </c>
      <c r="F32" t="s">
        <v>88</v>
      </c>
      <c r="G32" t="s">
        <v>81</v>
      </c>
    </row>
    <row r="33" spans="1:7" x14ac:dyDescent="0.25">
      <c r="A33">
        <v>5</v>
      </c>
      <c r="B33" s="2" t="s">
        <v>74</v>
      </c>
      <c r="C33" t="s">
        <v>79</v>
      </c>
      <c r="D33">
        <v>3</v>
      </c>
      <c r="E33" t="s">
        <v>94</v>
      </c>
      <c r="F33" t="s">
        <v>85</v>
      </c>
      <c r="G33" t="s">
        <v>81</v>
      </c>
    </row>
    <row r="34" spans="1:7" x14ac:dyDescent="0.25">
      <c r="A34">
        <v>5</v>
      </c>
      <c r="B34" s="2" t="s">
        <v>55</v>
      </c>
      <c r="C34" t="s">
        <v>56</v>
      </c>
      <c r="D34">
        <v>6</v>
      </c>
      <c r="E34" t="s">
        <v>94</v>
      </c>
      <c r="F34" t="s">
        <v>88</v>
      </c>
      <c r="G34" t="s">
        <v>81</v>
      </c>
    </row>
    <row r="35" spans="1:7" x14ac:dyDescent="0.25">
      <c r="A35">
        <v>5</v>
      </c>
      <c r="B35" s="2" t="s">
        <v>57</v>
      </c>
      <c r="C35" t="s">
        <v>58</v>
      </c>
      <c r="D35">
        <v>3</v>
      </c>
      <c r="E35" t="s">
        <v>94</v>
      </c>
      <c r="F35" t="s">
        <v>85</v>
      </c>
      <c r="G35" t="s">
        <v>81</v>
      </c>
    </row>
    <row r="36" spans="1:7" x14ac:dyDescent="0.25">
      <c r="A36">
        <v>6</v>
      </c>
      <c r="B36" s="2" t="s">
        <v>53</v>
      </c>
      <c r="C36" t="s">
        <v>54</v>
      </c>
      <c r="D36">
        <v>3</v>
      </c>
      <c r="E36" t="s">
        <v>94</v>
      </c>
      <c r="F36" t="s">
        <v>85</v>
      </c>
      <c r="G36" t="s">
        <v>81</v>
      </c>
    </row>
    <row r="37" spans="1:7" x14ac:dyDescent="0.25">
      <c r="A37">
        <v>6</v>
      </c>
      <c r="B37" s="2" t="s">
        <v>63</v>
      </c>
      <c r="C37" t="s">
        <v>67</v>
      </c>
      <c r="D37">
        <v>3</v>
      </c>
      <c r="E37" t="s">
        <v>94</v>
      </c>
      <c r="F37" t="s">
        <v>86</v>
      </c>
      <c r="G37" t="s">
        <v>81</v>
      </c>
    </row>
    <row r="38" spans="1:7" x14ac:dyDescent="0.25">
      <c r="A38">
        <v>6</v>
      </c>
      <c r="B38" s="2" t="s">
        <v>75</v>
      </c>
      <c r="C38" t="s">
        <v>78</v>
      </c>
      <c r="D38">
        <v>3</v>
      </c>
      <c r="E38" t="s">
        <v>94</v>
      </c>
      <c r="F38" t="s">
        <v>90</v>
      </c>
      <c r="G38" t="s">
        <v>81</v>
      </c>
    </row>
    <row r="39" spans="1:7" x14ac:dyDescent="0.25">
      <c r="A39">
        <v>6</v>
      </c>
      <c r="B39" s="2" t="s">
        <v>76</v>
      </c>
      <c r="C39" t="s">
        <v>77</v>
      </c>
      <c r="D39">
        <v>2</v>
      </c>
      <c r="E39" t="s">
        <v>93</v>
      </c>
      <c r="F39" t="s">
        <v>88</v>
      </c>
      <c r="G39" t="s">
        <v>81</v>
      </c>
    </row>
  </sheetData>
  <mergeCells count="5">
    <mergeCell ref="A1:G1"/>
    <mergeCell ref="I5:K5"/>
    <mergeCell ref="I3:K3"/>
    <mergeCell ref="I14:K14"/>
    <mergeCell ref="I16:K16"/>
  </mergeCells>
  <conditionalFormatting sqref="A3:G39">
    <cfRule type="expression" dxfId="48" priority="1">
      <formula>$G3="Dělám"</formula>
    </cfRule>
    <cfRule type="expression" dxfId="47" priority="2">
      <formula>$G3="Ano"</formula>
    </cfRule>
  </conditionalFormatting>
  <hyperlinks>
    <hyperlink ref="B3" r:id="rId1" display="https://is.slu.cz/auth/predmet/fpf/zima2023/UIIABP0001"/>
    <hyperlink ref="B39" r:id="rId2" display="https://is.slu.cz/auth/predmet/fpf/leto2024/UIIABP0057"/>
    <hyperlink ref="B38" r:id="rId3" display="https://is.slu.cz/auth/predmet/fpf/leto2024/UIIABP0056"/>
    <hyperlink ref="B24" r:id="rId4" display="https://is.slu.cz/auth/predmet/fpf/leto2024/UIIABP0050"/>
    <hyperlink ref="B19" r:id="rId5" display="https://is.slu.cz/auth/predmet/fpf/zima2024/UIIABP0011"/>
    <hyperlink ref="B18" r:id="rId6" display="https://is.slu.cz/auth/predmet/fpf/zima2024/UIIABP0010"/>
    <hyperlink ref="B17" r:id="rId7" display="https://is.slu.cz/auth/predmet/fpf/zima2024/UIIABP0009"/>
    <hyperlink ref="B28" r:id="rId8" display="https://is.slu.cz/auth/predmet/fpf/leto2024/UIIABP0049"/>
    <hyperlink ref="B22" r:id="rId9" display="https://is.slu.cz/auth/predmet/fpf/leto2024/UIIABP0046"/>
    <hyperlink ref="B21" r:id="rId10" display="https://is.slu.cz/auth/predmet/fpf/zima2024/UIIABP0054"/>
    <hyperlink ref="B20" r:id="rId11" display="https://is.slu.cz/auth/predmet/fpf/zima2024/UIIABP0012"/>
    <hyperlink ref="B37" r:id="rId12" display="https://is.slu.cz/auth/predmet/fpf/zima2024/UIIABP0013"/>
    <hyperlink ref="B15" r:id="rId13" display="https://is.slu.cz/auth/predmet/fpf/zima2024/UIIABP0007"/>
    <hyperlink ref="B23" r:id="rId14" display="https://is.slu.cz/auth/predmet/fpf/leto2024/UIIABP0048"/>
    <hyperlink ref="B35" r:id="rId15" display="https://is.slu.cz/auth/predmet/fpf/zima2024/UIIABP0019"/>
    <hyperlink ref="B34" r:id="rId16" display="https://is.slu.cz/auth/predmet/fpf/zima2024/UIIABP0018"/>
    <hyperlink ref="B36" r:id="rId17" display="https://is.slu.cz/auth/predmet/fpf/zima2023/UIIABP0017"/>
    <hyperlink ref="B16" r:id="rId18" display="https://is.slu.cz/auth/predmet/fpf/zima2024/UIIABP0008"/>
    <hyperlink ref="B14" r:id="rId19" display="https://is.slu.cz/auth/predmet/fpf/leto2024/UIIABP0047"/>
    <hyperlink ref="B13" r:id="rId20" display="https://is.slu.cz/auth/predmet/fpf/leto2024/UIIABP0045"/>
    <hyperlink ref="B12" r:id="rId21" display="https://is.slu.cz/auth/predmet/fpf/leto2024/UIIABP0044"/>
    <hyperlink ref="B11" r:id="rId22" display="https://is.slu.cz/auth/predmet/fpf/leto2024/UIIABP0042"/>
    <hyperlink ref="B10" r:id="rId23" display="https://is.slu.cz/auth/predmet/fpf/leto2024/UIIABP0042"/>
    <hyperlink ref="B9" r:id="rId24" display="https://is.slu.cz/auth/predmet/fpf/leto2024/UIIABP0041"/>
    <hyperlink ref="B8" r:id="rId25" display="https://is.slu.cz/auth/predmet/fpf/zima2023/UIIABP0006"/>
    <hyperlink ref="B7" r:id="rId26" display="https://is.slu.cz/auth/predmet/fpf/zima2023/UIIABP0003"/>
    <hyperlink ref="B6" r:id="rId27" display="https://is.slu.cz/auth/predmet/fpf/zima2023/UIIABP0003"/>
    <hyperlink ref="B5" r:id="rId28" display="https://is.slu.cz/auth/predmet/fpf/zima2023/UIIABP0003"/>
    <hyperlink ref="B4" r:id="rId29" display="https://is.slu.cz/auth/predmet/fpf/zima2023/UIIABP0002"/>
  </hyperlinks>
  <pageMargins left="0.7" right="0.7" top="0.78740157499999996" bottom="0.78740157499999996" header="0.3" footer="0.3"/>
  <pageSetup paperSize="9" orientation="portrait" r:id="rId30"/>
  <tableParts count="1"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G5" sqref="G5"/>
    </sheetView>
  </sheetViews>
  <sheetFormatPr defaultRowHeight="15" x14ac:dyDescent="0.25"/>
  <cols>
    <col min="1" max="1" width="12.42578125" customWidth="1"/>
    <col min="2" max="2" width="13.7109375" customWidth="1"/>
    <col min="3" max="3" width="38" customWidth="1"/>
    <col min="4" max="4" width="11" customWidth="1"/>
    <col min="5" max="5" width="14" customWidth="1"/>
    <col min="6" max="6" width="18.42578125" customWidth="1"/>
    <col min="7" max="7" width="12.42578125" customWidth="1"/>
    <col min="9" max="9" width="28" customWidth="1"/>
  </cols>
  <sheetData>
    <row r="1" spans="1:10" ht="39.75" customHeight="1" x14ac:dyDescent="0.25">
      <c r="A1" s="23" t="s">
        <v>112</v>
      </c>
      <c r="B1" s="24"/>
      <c r="C1" s="24"/>
      <c r="D1" s="24"/>
      <c r="E1" s="24"/>
      <c r="F1" s="24"/>
      <c r="G1" s="25"/>
    </row>
    <row r="2" spans="1:10" ht="24" customHeight="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82</v>
      </c>
    </row>
    <row r="3" spans="1:10" ht="15" customHeight="1" x14ac:dyDescent="0.25">
      <c r="A3" s="16" t="s">
        <v>153</v>
      </c>
      <c r="B3" s="2" t="s">
        <v>96</v>
      </c>
      <c r="C3" s="4" t="s">
        <v>95</v>
      </c>
      <c r="D3" s="4">
        <v>6</v>
      </c>
      <c r="E3" s="4" t="s">
        <v>94</v>
      </c>
      <c r="F3" s="4" t="s">
        <v>85</v>
      </c>
      <c r="G3" s="4" t="s">
        <v>87</v>
      </c>
      <c r="I3" t="s">
        <v>91</v>
      </c>
      <c r="J3" s="9" t="str">
        <f>COUNTIF(Tabulka220[Status],"Ano")&amp;" / "&amp;COUNTIF(Tabulka220[Status],"*")</f>
        <v>1 / 4</v>
      </c>
    </row>
    <row r="4" spans="1:10" ht="15" customHeight="1" x14ac:dyDescent="0.25">
      <c r="A4" s="17" t="s">
        <v>153</v>
      </c>
      <c r="B4" s="2" t="s">
        <v>98</v>
      </c>
      <c r="C4" s="3" t="s">
        <v>97</v>
      </c>
      <c r="D4" s="3">
        <v>6</v>
      </c>
      <c r="E4" s="3" t="s">
        <v>94</v>
      </c>
      <c r="F4" s="3" t="s">
        <v>85</v>
      </c>
      <c r="G4" s="3" t="s">
        <v>198</v>
      </c>
    </row>
    <row r="5" spans="1:10" ht="15" customHeight="1" x14ac:dyDescent="0.25">
      <c r="A5" s="16" t="s">
        <v>153</v>
      </c>
      <c r="B5" s="2" t="s">
        <v>101</v>
      </c>
      <c r="C5" s="4" t="s">
        <v>99</v>
      </c>
      <c r="D5" s="4">
        <v>4</v>
      </c>
      <c r="E5" s="4" t="s">
        <v>93</v>
      </c>
      <c r="F5" s="4" t="s">
        <v>85</v>
      </c>
      <c r="G5" s="4" t="s">
        <v>87</v>
      </c>
      <c r="I5" s="10" t="s">
        <v>109</v>
      </c>
      <c r="J5" s="11" t="str">
        <f>SUMIFS(Tabulka220[Kredity], Tabulka220[Status],"Ano")&amp;" / "&amp;SUM(Tabulka220[Kredity])</f>
        <v>5 / 21</v>
      </c>
    </row>
    <row r="6" spans="1:10" ht="15" customHeight="1" x14ac:dyDescent="0.25">
      <c r="A6" s="17" t="s">
        <v>154</v>
      </c>
      <c r="B6" s="2" t="s">
        <v>102</v>
      </c>
      <c r="C6" s="3" t="s">
        <v>100</v>
      </c>
      <c r="D6" s="3">
        <v>5</v>
      </c>
      <c r="E6" s="3" t="s">
        <v>94</v>
      </c>
      <c r="F6" s="3" t="s">
        <v>85</v>
      </c>
      <c r="G6" s="3" t="s">
        <v>81</v>
      </c>
    </row>
    <row r="8" spans="1:10" ht="21" customHeight="1" x14ac:dyDescent="0.25">
      <c r="A8" s="3"/>
      <c r="B8" s="5"/>
      <c r="E8" s="3"/>
      <c r="F8" s="3"/>
      <c r="G8" s="3"/>
    </row>
    <row r="14" spans="1:10" ht="39.75" customHeight="1" x14ac:dyDescent="0.25">
      <c r="A14" s="23" t="s">
        <v>111</v>
      </c>
      <c r="B14" s="24"/>
      <c r="C14" s="24"/>
      <c r="D14" s="24"/>
      <c r="E14" s="24"/>
      <c r="F14" s="24"/>
      <c r="G14" s="25"/>
    </row>
    <row r="15" spans="1:10" ht="24" customHeight="1" x14ac:dyDescent="0.25">
      <c r="A15" s="8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8" t="s">
        <v>5</v>
      </c>
      <c r="G15" s="8" t="s">
        <v>82</v>
      </c>
    </row>
    <row r="16" spans="1:10" ht="15" customHeight="1" x14ac:dyDescent="0.25">
      <c r="A16" s="16" t="s">
        <v>153</v>
      </c>
      <c r="B16" s="2" t="s">
        <v>106</v>
      </c>
      <c r="C16" s="4" t="s">
        <v>103</v>
      </c>
      <c r="D16" s="4">
        <v>3</v>
      </c>
      <c r="E16" s="4" t="s">
        <v>94</v>
      </c>
      <c r="F16" s="4" t="s">
        <v>84</v>
      </c>
      <c r="G16" s="4" t="s">
        <v>81</v>
      </c>
      <c r="I16" t="s">
        <v>91</v>
      </c>
      <c r="J16" s="9" t="str">
        <f>COUNTIF(Tabulka321[Status],"Ano")&amp;" / "&amp;COUNTIF(Tabulka321[Status],"*")</f>
        <v>2 / 3</v>
      </c>
    </row>
    <row r="17" spans="1:10" x14ac:dyDescent="0.25">
      <c r="A17" s="17" t="s">
        <v>153</v>
      </c>
      <c r="B17" s="2" t="s">
        <v>107</v>
      </c>
      <c r="C17" s="3" t="s">
        <v>104</v>
      </c>
      <c r="D17" s="3">
        <v>3</v>
      </c>
      <c r="E17" s="3" t="s">
        <v>94</v>
      </c>
      <c r="F17" s="3" t="s">
        <v>85</v>
      </c>
      <c r="G17" s="3" t="s">
        <v>87</v>
      </c>
    </row>
    <row r="18" spans="1:10" ht="15" customHeight="1" x14ac:dyDescent="0.25">
      <c r="A18" s="16" t="s">
        <v>153</v>
      </c>
      <c r="B18" s="2" t="s">
        <v>108</v>
      </c>
      <c r="C18" s="4" t="s">
        <v>105</v>
      </c>
      <c r="D18" s="4">
        <v>3</v>
      </c>
      <c r="E18" s="4" t="s">
        <v>94</v>
      </c>
      <c r="F18" s="4" t="s">
        <v>85</v>
      </c>
      <c r="G18" s="4" t="s">
        <v>81</v>
      </c>
      <c r="I18" s="10" t="s">
        <v>110</v>
      </c>
      <c r="J18" s="11" t="str">
        <f>SUMIFS(Tabulka321[Kredity], Tabulka321[Status],"Ano")&amp;" / "&amp;SUM(Tabulka321[Kredity])</f>
        <v>6 / 9</v>
      </c>
    </row>
    <row r="20" spans="1:10" ht="21" customHeight="1" x14ac:dyDescent="0.25"/>
  </sheetData>
  <mergeCells count="2">
    <mergeCell ref="A1:G1"/>
    <mergeCell ref="A14:G14"/>
  </mergeCells>
  <conditionalFormatting sqref="A16:G18">
    <cfRule type="expression" dxfId="44" priority="3">
      <formula>$G16="Dělám"</formula>
    </cfRule>
    <cfRule type="expression" dxfId="43" priority="4">
      <formula>$G16="Ano"</formula>
    </cfRule>
  </conditionalFormatting>
  <conditionalFormatting sqref="A3:G6">
    <cfRule type="expression" dxfId="42" priority="1">
      <formula>$G3="Dělám"</formula>
    </cfRule>
    <cfRule type="expression" dxfId="41" priority="2">
      <formula>$G3="Ano"</formula>
    </cfRule>
  </conditionalFormatting>
  <hyperlinks>
    <hyperlink ref="B3" r:id="rId1" display="https://is.slu.cz/auth/predmet/fpf/zima2024/UIIABP0021"/>
    <hyperlink ref="B4" r:id="rId2" display="https://is.slu.cz/auth/predmet/fpf/zima2024/UIIABP0022"/>
    <hyperlink ref="B5" r:id="rId3" display="https://is.slu.cz/auth/predmet/fpf/zima2024/UIIABP0023"/>
    <hyperlink ref="B6" r:id="rId4" display="https://is.slu.cz/auth/predmet/fpf/leto2024/UIIABP0058"/>
    <hyperlink ref="B16" r:id="rId5" display="https://is.slu.cz/auth/predmet/fpf/zima2024/UIIABP0024"/>
    <hyperlink ref="B17" r:id="rId6" display="https://is.slu.cz/auth/predmet/fpf/zima2023/UIIABP0025"/>
    <hyperlink ref="B18" r:id="rId7" display="https://is.slu.cz/auth/predmet/fpf/zima2024/UIIABP0059"/>
  </hyperlinks>
  <pageMargins left="0.7" right="0.7" top="0.78740157499999996" bottom="0.78740157499999996" header="0.3" footer="0.3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G39" sqref="G39"/>
    </sheetView>
  </sheetViews>
  <sheetFormatPr defaultRowHeight="15" x14ac:dyDescent="0.25"/>
  <cols>
    <col min="1" max="1" width="12.42578125" customWidth="1"/>
    <col min="2" max="2" width="13.7109375" customWidth="1"/>
    <col min="3" max="3" width="38" customWidth="1"/>
    <col min="4" max="4" width="11" customWidth="1"/>
    <col min="5" max="5" width="14" customWidth="1"/>
    <col min="6" max="6" width="18.42578125" customWidth="1"/>
    <col min="7" max="7" width="12.42578125" customWidth="1"/>
    <col min="9" max="9" width="28" customWidth="1"/>
  </cols>
  <sheetData>
    <row r="1" spans="1:10" ht="39.75" customHeight="1" x14ac:dyDescent="0.25">
      <c r="A1" s="23" t="s">
        <v>113</v>
      </c>
      <c r="B1" s="24"/>
      <c r="C1" s="24"/>
      <c r="D1" s="24"/>
      <c r="E1" s="24"/>
      <c r="F1" s="24"/>
      <c r="G1" s="25"/>
    </row>
    <row r="2" spans="1:10" ht="24" customHeight="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82</v>
      </c>
    </row>
    <row r="3" spans="1:10" ht="15" customHeight="1" x14ac:dyDescent="0.25">
      <c r="A3" s="16" t="s">
        <v>153</v>
      </c>
      <c r="B3" s="2" t="s">
        <v>121</v>
      </c>
      <c r="C3" s="4" t="s">
        <v>115</v>
      </c>
      <c r="D3" s="4">
        <v>2</v>
      </c>
      <c r="E3" s="4" t="s">
        <v>93</v>
      </c>
      <c r="F3" s="4" t="s">
        <v>85</v>
      </c>
      <c r="G3" s="4" t="s">
        <v>81</v>
      </c>
      <c r="I3" s="12" t="s">
        <v>91</v>
      </c>
      <c r="J3" s="9" t="str">
        <f>COUNTIF(Tabulka22024[Status],"Ano")&amp;" / "&amp;COUNTIF(Tabulka22024[Status],"*")</f>
        <v>2 / 6</v>
      </c>
    </row>
    <row r="4" spans="1:10" ht="15" customHeight="1" x14ac:dyDescent="0.25">
      <c r="A4" s="17" t="s">
        <v>153</v>
      </c>
      <c r="B4" s="2" t="s">
        <v>122</v>
      </c>
      <c r="C4" s="3" t="s">
        <v>116</v>
      </c>
      <c r="D4" s="3">
        <v>2</v>
      </c>
      <c r="E4" s="3" t="s">
        <v>93</v>
      </c>
      <c r="F4" s="3" t="s">
        <v>83</v>
      </c>
      <c r="G4" s="3" t="s">
        <v>81</v>
      </c>
    </row>
    <row r="5" spans="1:10" ht="15" customHeight="1" x14ac:dyDescent="0.25">
      <c r="A5" s="16" t="s">
        <v>154</v>
      </c>
      <c r="B5" s="2" t="s">
        <v>114</v>
      </c>
      <c r="C5" s="4" t="s">
        <v>117</v>
      </c>
      <c r="D5" s="4">
        <v>2</v>
      </c>
      <c r="E5" s="4" t="s">
        <v>93</v>
      </c>
      <c r="F5" s="4" t="s">
        <v>85</v>
      </c>
      <c r="G5" s="4" t="s">
        <v>87</v>
      </c>
      <c r="I5" s="1" t="s">
        <v>109</v>
      </c>
      <c r="J5" s="11" t="str">
        <f>SUMIFS(Tabulka22024[Kredity], Tabulka22024[Status],"Ano")&amp;" / "&amp;SUM(Tabulka22024[Kredity])</f>
        <v>4 / 12</v>
      </c>
    </row>
    <row r="6" spans="1:10" ht="15" customHeight="1" x14ac:dyDescent="0.25">
      <c r="A6" s="17" t="s">
        <v>154</v>
      </c>
      <c r="B6" s="2" t="s">
        <v>125</v>
      </c>
      <c r="C6" s="3" t="s">
        <v>120</v>
      </c>
      <c r="D6" s="3">
        <v>2</v>
      </c>
      <c r="E6" s="3" t="s">
        <v>93</v>
      </c>
      <c r="F6" s="3" t="s">
        <v>88</v>
      </c>
      <c r="G6" s="3" t="s">
        <v>87</v>
      </c>
    </row>
    <row r="7" spans="1:10" ht="15" customHeight="1" x14ac:dyDescent="0.25">
      <c r="A7" s="17" t="s">
        <v>154</v>
      </c>
      <c r="B7" s="2" t="s">
        <v>124</v>
      </c>
      <c r="C7" s="3" t="s">
        <v>119</v>
      </c>
      <c r="D7" s="3">
        <v>2</v>
      </c>
      <c r="E7" s="3" t="s">
        <v>93</v>
      </c>
      <c r="F7" s="3" t="s">
        <v>83</v>
      </c>
      <c r="G7" s="3" t="s">
        <v>87</v>
      </c>
    </row>
    <row r="8" spans="1:10" ht="15" customHeight="1" x14ac:dyDescent="0.25">
      <c r="A8" s="17" t="s">
        <v>154</v>
      </c>
      <c r="B8" s="2" t="s">
        <v>123</v>
      </c>
      <c r="C8" s="3" t="s">
        <v>118</v>
      </c>
      <c r="D8" s="3">
        <v>2</v>
      </c>
      <c r="E8" s="3" t="s">
        <v>93</v>
      </c>
      <c r="F8" s="3" t="s">
        <v>88</v>
      </c>
      <c r="G8" s="3" t="s">
        <v>87</v>
      </c>
    </row>
    <row r="9" spans="1:10" ht="15" customHeight="1" x14ac:dyDescent="0.25"/>
    <row r="10" spans="1:10" ht="15" customHeight="1" x14ac:dyDescent="0.25"/>
    <row r="11" spans="1:10" ht="15" customHeight="1" x14ac:dyDescent="0.25"/>
    <row r="12" spans="1:10" ht="15" customHeight="1" x14ac:dyDescent="0.25"/>
    <row r="13" spans="1:10" ht="15" customHeight="1" x14ac:dyDescent="0.25"/>
    <row r="14" spans="1:10" ht="39.75" customHeight="1" x14ac:dyDescent="0.25">
      <c r="A14" s="23" t="s">
        <v>149</v>
      </c>
      <c r="B14" s="24"/>
      <c r="C14" s="24"/>
      <c r="D14" s="24"/>
      <c r="E14" s="24"/>
      <c r="F14" s="24"/>
      <c r="G14" s="25"/>
    </row>
    <row r="15" spans="1:10" ht="24" customHeight="1" x14ac:dyDescent="0.25">
      <c r="A15" s="8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8" t="s">
        <v>5</v>
      </c>
      <c r="G15" s="8" t="s">
        <v>82</v>
      </c>
    </row>
    <row r="16" spans="1:10" ht="15" customHeight="1" x14ac:dyDescent="0.25">
      <c r="A16" s="15" t="s">
        <v>153</v>
      </c>
      <c r="B16" s="2" t="s">
        <v>132</v>
      </c>
      <c r="C16" t="s">
        <v>126</v>
      </c>
      <c r="D16">
        <v>2</v>
      </c>
      <c r="E16" t="s">
        <v>93</v>
      </c>
      <c r="F16" t="s">
        <v>86</v>
      </c>
      <c r="G16" t="s">
        <v>81</v>
      </c>
      <c r="I16" t="s">
        <v>91</v>
      </c>
      <c r="J16" s="9" t="str">
        <f>COUNTIF(Tabulka220245[Status],"Ano")&amp;" / "&amp;COUNTIF(Tabulka220245[Status],"*")</f>
        <v>2 / 5</v>
      </c>
    </row>
    <row r="17" spans="1:10" ht="15" customHeight="1" x14ac:dyDescent="0.25">
      <c r="A17" s="15" t="s">
        <v>153</v>
      </c>
      <c r="B17" s="2" t="s">
        <v>133</v>
      </c>
      <c r="C17" t="s">
        <v>127</v>
      </c>
      <c r="D17">
        <v>4</v>
      </c>
      <c r="E17" t="s">
        <v>94</v>
      </c>
      <c r="F17" t="s">
        <v>84</v>
      </c>
      <c r="G17" t="s">
        <v>87</v>
      </c>
    </row>
    <row r="18" spans="1:10" ht="15" customHeight="1" x14ac:dyDescent="0.25">
      <c r="A18" s="15" t="s">
        <v>154</v>
      </c>
      <c r="B18" s="2" t="s">
        <v>134</v>
      </c>
      <c r="C18" t="s">
        <v>128</v>
      </c>
      <c r="D18">
        <v>2</v>
      </c>
      <c r="E18" t="s">
        <v>93</v>
      </c>
      <c r="F18" t="s">
        <v>84</v>
      </c>
      <c r="G18" t="s">
        <v>87</v>
      </c>
      <c r="I18" s="10" t="s">
        <v>109</v>
      </c>
      <c r="J18" s="11" t="str">
        <f>SUMIFS(Tabulka220245[Kredity], Tabulka220245[Status],"Ano")&amp;" / "&amp;SUM(Tabulka220245[Kredity])</f>
        <v>4 / 12</v>
      </c>
    </row>
    <row r="19" spans="1:10" x14ac:dyDescent="0.25">
      <c r="A19" s="15" t="s">
        <v>154</v>
      </c>
      <c r="B19" s="2" t="s">
        <v>135</v>
      </c>
      <c r="C19" t="s">
        <v>129</v>
      </c>
      <c r="D19">
        <v>2</v>
      </c>
      <c r="E19" t="s">
        <v>93</v>
      </c>
      <c r="F19" t="s">
        <v>85</v>
      </c>
      <c r="G19" t="s">
        <v>81</v>
      </c>
    </row>
    <row r="20" spans="1:10" x14ac:dyDescent="0.25">
      <c r="A20" s="15" t="s">
        <v>154</v>
      </c>
      <c r="B20" s="2" t="s">
        <v>136</v>
      </c>
      <c r="C20" t="s">
        <v>130</v>
      </c>
      <c r="D20">
        <v>2</v>
      </c>
      <c r="E20" t="s">
        <v>93</v>
      </c>
      <c r="F20" t="s">
        <v>88</v>
      </c>
      <c r="G20" t="s">
        <v>87</v>
      </c>
    </row>
    <row r="26" spans="1:10" ht="39.75" customHeight="1" x14ac:dyDescent="0.25">
      <c r="A26" s="23" t="s">
        <v>148</v>
      </c>
      <c r="B26" s="24"/>
      <c r="C26" s="24"/>
      <c r="D26" s="24"/>
      <c r="E26" s="24"/>
      <c r="F26" s="24"/>
      <c r="G26" s="25"/>
    </row>
    <row r="27" spans="1:10" ht="24" customHeight="1" x14ac:dyDescent="0.25">
      <c r="A27" s="8" t="s">
        <v>0</v>
      </c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  <c r="G27" s="8" t="s">
        <v>82</v>
      </c>
    </row>
    <row r="28" spans="1:10" ht="15" customHeight="1" x14ac:dyDescent="0.25">
      <c r="A28" s="15" t="s">
        <v>153</v>
      </c>
      <c r="B28" s="2" t="s">
        <v>137</v>
      </c>
      <c r="C28" t="s">
        <v>131</v>
      </c>
      <c r="D28">
        <v>2</v>
      </c>
      <c r="E28" t="s">
        <v>93</v>
      </c>
      <c r="F28" t="s">
        <v>85</v>
      </c>
      <c r="G28" t="s">
        <v>87</v>
      </c>
      <c r="I28" t="s">
        <v>91</v>
      </c>
      <c r="J28" s="9" t="str">
        <f>COUNTIF(Tabulka2202456[Status],"Ano")&amp;" / "&amp;COUNTIF(Tabulka2202456[Status],"*")</f>
        <v>2 / 11</v>
      </c>
    </row>
    <row r="29" spans="1:10" ht="15" customHeight="1" x14ac:dyDescent="0.25">
      <c r="A29" s="15" t="s">
        <v>153</v>
      </c>
      <c r="B29" s="2" t="s">
        <v>138</v>
      </c>
      <c r="C29" t="s">
        <v>150</v>
      </c>
      <c r="D29">
        <v>2</v>
      </c>
      <c r="E29" t="s">
        <v>93</v>
      </c>
      <c r="F29" t="s">
        <v>85</v>
      </c>
      <c r="G29" t="s">
        <v>87</v>
      </c>
    </row>
    <row r="30" spans="1:10" ht="15" customHeight="1" x14ac:dyDescent="0.25">
      <c r="A30" s="15" t="s">
        <v>153</v>
      </c>
      <c r="B30" s="2" t="s">
        <v>139</v>
      </c>
      <c r="C30" t="s">
        <v>151</v>
      </c>
      <c r="D30">
        <v>2</v>
      </c>
      <c r="E30" t="s">
        <v>93</v>
      </c>
      <c r="F30" t="s">
        <v>85</v>
      </c>
      <c r="G30" t="s">
        <v>87</v>
      </c>
      <c r="I30" s="10" t="s">
        <v>196</v>
      </c>
      <c r="J30" s="11" t="str">
        <f>SUMIFS(Tabulka2202456[Kredity], Tabulka2202456[Status],"Ano")&amp;" / "&amp;SUM(Tabulka2202456[Kredity])</f>
        <v>4 / 25</v>
      </c>
    </row>
    <row r="31" spans="1:10" ht="15" customHeight="1" x14ac:dyDescent="0.25">
      <c r="A31" s="15" t="s">
        <v>153</v>
      </c>
      <c r="B31" s="2" t="s">
        <v>140</v>
      </c>
      <c r="C31" t="s">
        <v>152</v>
      </c>
      <c r="D31">
        <v>2</v>
      </c>
      <c r="E31" t="s">
        <v>93</v>
      </c>
      <c r="F31" t="s">
        <v>83</v>
      </c>
      <c r="G31" t="s">
        <v>87</v>
      </c>
    </row>
    <row r="32" spans="1:10" ht="15" customHeight="1" x14ac:dyDescent="0.25">
      <c r="A32" s="15" t="s">
        <v>154</v>
      </c>
      <c r="B32" s="2" t="s">
        <v>141</v>
      </c>
      <c r="C32" t="s">
        <v>155</v>
      </c>
      <c r="D32">
        <v>2</v>
      </c>
      <c r="E32" t="s">
        <v>93</v>
      </c>
      <c r="F32" t="s">
        <v>85</v>
      </c>
      <c r="G32" t="s">
        <v>87</v>
      </c>
    </row>
    <row r="33" spans="1:10" ht="15" customHeight="1" x14ac:dyDescent="0.25">
      <c r="A33" s="15" t="s">
        <v>154</v>
      </c>
      <c r="B33" s="2" t="s">
        <v>142</v>
      </c>
      <c r="C33" t="s">
        <v>156</v>
      </c>
      <c r="D33">
        <v>2</v>
      </c>
      <c r="E33" t="s">
        <v>93</v>
      </c>
      <c r="F33" t="s">
        <v>83</v>
      </c>
      <c r="G33" t="s">
        <v>87</v>
      </c>
    </row>
    <row r="34" spans="1:10" ht="15" customHeight="1" x14ac:dyDescent="0.25">
      <c r="A34" s="15" t="s">
        <v>154</v>
      </c>
      <c r="B34" s="2" t="s">
        <v>143</v>
      </c>
      <c r="C34" t="s">
        <v>157</v>
      </c>
      <c r="D34">
        <v>3</v>
      </c>
      <c r="E34" t="s">
        <v>94</v>
      </c>
      <c r="F34" t="s">
        <v>85</v>
      </c>
      <c r="G34" t="s">
        <v>87</v>
      </c>
    </row>
    <row r="35" spans="1:10" ht="15" customHeight="1" x14ac:dyDescent="0.25">
      <c r="A35" s="15" t="s">
        <v>154</v>
      </c>
      <c r="B35" s="2" t="s">
        <v>144</v>
      </c>
      <c r="C35" t="s">
        <v>158</v>
      </c>
      <c r="D35">
        <v>2</v>
      </c>
      <c r="E35" t="s">
        <v>93</v>
      </c>
      <c r="F35" t="s">
        <v>85</v>
      </c>
      <c r="G35" t="s">
        <v>87</v>
      </c>
    </row>
    <row r="36" spans="1:10" ht="15" customHeight="1" x14ac:dyDescent="0.25">
      <c r="A36" s="15" t="s">
        <v>154</v>
      </c>
      <c r="B36" s="2" t="s">
        <v>145</v>
      </c>
      <c r="C36" t="s">
        <v>159</v>
      </c>
      <c r="D36">
        <v>4</v>
      </c>
      <c r="E36" t="s">
        <v>94</v>
      </c>
      <c r="F36" t="s">
        <v>85</v>
      </c>
      <c r="G36" t="s">
        <v>87</v>
      </c>
    </row>
    <row r="37" spans="1:10" ht="15" customHeight="1" x14ac:dyDescent="0.25">
      <c r="A37" s="15" t="s">
        <v>154</v>
      </c>
      <c r="B37" s="2" t="s">
        <v>146</v>
      </c>
      <c r="C37" t="s">
        <v>160</v>
      </c>
      <c r="D37">
        <v>2</v>
      </c>
      <c r="E37" t="s">
        <v>93</v>
      </c>
      <c r="F37" t="s">
        <v>88</v>
      </c>
      <c r="G37" t="s">
        <v>81</v>
      </c>
    </row>
    <row r="38" spans="1:10" ht="15" customHeight="1" x14ac:dyDescent="0.25">
      <c r="A38" s="18" t="s">
        <v>154</v>
      </c>
      <c r="B38" s="14" t="s">
        <v>147</v>
      </c>
      <c r="C38" s="13" t="s">
        <v>161</v>
      </c>
      <c r="D38" s="13">
        <v>2</v>
      </c>
      <c r="E38" s="13" t="s">
        <v>93</v>
      </c>
      <c r="F38" s="13" t="s">
        <v>88</v>
      </c>
      <c r="G38" s="13" t="s">
        <v>81</v>
      </c>
    </row>
    <row r="44" spans="1:10" ht="39.75" customHeight="1" x14ac:dyDescent="0.25">
      <c r="A44" s="23" t="s">
        <v>162</v>
      </c>
      <c r="B44" s="24"/>
      <c r="C44" s="24"/>
      <c r="D44" s="24"/>
      <c r="E44" s="24"/>
      <c r="F44" s="24"/>
      <c r="G44" s="25"/>
    </row>
    <row r="45" spans="1:10" ht="24" customHeight="1" x14ac:dyDescent="0.25">
      <c r="A45" s="8" t="s">
        <v>0</v>
      </c>
      <c r="B45" s="8" t="s">
        <v>1</v>
      </c>
      <c r="C45" s="8" t="s">
        <v>2</v>
      </c>
      <c r="D45" s="8" t="s">
        <v>3</v>
      </c>
      <c r="E45" s="8" t="s">
        <v>4</v>
      </c>
      <c r="F45" s="8" t="s">
        <v>5</v>
      </c>
      <c r="G45" s="8" t="s">
        <v>82</v>
      </c>
    </row>
    <row r="46" spans="1:10" ht="15" customHeight="1" x14ac:dyDescent="0.25">
      <c r="A46" s="15" t="s">
        <v>153</v>
      </c>
      <c r="B46" s="2" t="s">
        <v>164</v>
      </c>
      <c r="C46" t="s">
        <v>163</v>
      </c>
      <c r="D46">
        <v>2</v>
      </c>
      <c r="E46" t="s">
        <v>93</v>
      </c>
      <c r="F46" t="s">
        <v>85</v>
      </c>
      <c r="G46" t="s">
        <v>87</v>
      </c>
      <c r="I46" t="s">
        <v>91</v>
      </c>
      <c r="J46" s="9" t="str">
        <f>COUNTIF(Tabulka2202457[Status],"Ano")&amp;" / "&amp;COUNTIF(Tabulka2202457[Status],"*")</f>
        <v>1 / 4</v>
      </c>
    </row>
    <row r="47" spans="1:10" ht="15" customHeight="1" x14ac:dyDescent="0.25">
      <c r="A47" s="15" t="s">
        <v>154</v>
      </c>
      <c r="B47" s="2" t="s">
        <v>165</v>
      </c>
      <c r="C47" t="s">
        <v>166</v>
      </c>
      <c r="D47">
        <v>2</v>
      </c>
      <c r="E47" t="s">
        <v>93</v>
      </c>
      <c r="F47" t="s">
        <v>85</v>
      </c>
      <c r="G47" t="s">
        <v>87</v>
      </c>
    </row>
    <row r="48" spans="1:10" ht="15" customHeight="1" x14ac:dyDescent="0.25">
      <c r="A48" s="15" t="s">
        <v>154</v>
      </c>
      <c r="B48" s="2" t="s">
        <v>167</v>
      </c>
      <c r="C48" t="s">
        <v>168</v>
      </c>
      <c r="D48">
        <v>6</v>
      </c>
      <c r="E48" t="s">
        <v>94</v>
      </c>
      <c r="F48" t="s">
        <v>85</v>
      </c>
      <c r="G48" t="s">
        <v>87</v>
      </c>
      <c r="I48" s="10" t="s">
        <v>171</v>
      </c>
      <c r="J48" s="11" t="str">
        <f>SUMIFS(Tabulka2202457[Kredity], Tabulka2202457[Status],"Ano")&amp;" / "&amp;SUM(Tabulka2202457[Kredity])</f>
        <v>4 / 14</v>
      </c>
    </row>
    <row r="49" spans="1:10" ht="15" customHeight="1" x14ac:dyDescent="0.25">
      <c r="A49" s="15" t="s">
        <v>154</v>
      </c>
      <c r="B49" s="2" t="s">
        <v>170</v>
      </c>
      <c r="C49" t="s">
        <v>169</v>
      </c>
      <c r="D49">
        <v>4</v>
      </c>
      <c r="E49" t="s">
        <v>94</v>
      </c>
      <c r="F49" t="s">
        <v>85</v>
      </c>
      <c r="G49" t="s">
        <v>81</v>
      </c>
    </row>
    <row r="50" spans="1:10" ht="15" customHeight="1" x14ac:dyDescent="0.25"/>
    <row r="55" spans="1:10" ht="39.75" customHeight="1" x14ac:dyDescent="0.25">
      <c r="A55" s="23" t="s">
        <v>172</v>
      </c>
      <c r="B55" s="24"/>
      <c r="C55" s="24"/>
      <c r="D55" s="24"/>
      <c r="E55" s="24"/>
      <c r="F55" s="24"/>
      <c r="G55" s="25"/>
    </row>
    <row r="56" spans="1:10" ht="24" customHeight="1" x14ac:dyDescent="0.25">
      <c r="A56" s="8" t="s">
        <v>0</v>
      </c>
      <c r="B56" s="8" t="s">
        <v>1</v>
      </c>
      <c r="C56" s="8" t="s">
        <v>2</v>
      </c>
      <c r="D56" s="8" t="s">
        <v>3</v>
      </c>
      <c r="E56" s="8" t="s">
        <v>4</v>
      </c>
      <c r="F56" s="8" t="s">
        <v>5</v>
      </c>
      <c r="G56" s="8" t="s">
        <v>82</v>
      </c>
    </row>
    <row r="57" spans="1:10" ht="15" customHeight="1" x14ac:dyDescent="0.25">
      <c r="A57" s="15" t="s">
        <v>153</v>
      </c>
      <c r="B57" s="2" t="s">
        <v>173</v>
      </c>
      <c r="C57" t="s">
        <v>183</v>
      </c>
      <c r="D57">
        <v>3</v>
      </c>
      <c r="E57" t="s">
        <v>94</v>
      </c>
      <c r="F57" t="s">
        <v>184</v>
      </c>
      <c r="G57" t="s">
        <v>87</v>
      </c>
      <c r="I57" t="s">
        <v>91</v>
      </c>
      <c r="J57" s="9" t="str">
        <f>COUNTIF(Tabulka22024568[Status],"Ano")&amp;" / "&amp;COUNTIF(Tabulka22024568[Status],"*")</f>
        <v>2 / 10</v>
      </c>
    </row>
    <row r="58" spans="1:10" ht="15" customHeight="1" x14ac:dyDescent="0.25">
      <c r="A58" s="15" t="s">
        <v>153</v>
      </c>
      <c r="B58" s="2" t="s">
        <v>174</v>
      </c>
      <c r="C58" t="s">
        <v>185</v>
      </c>
      <c r="D58">
        <v>3</v>
      </c>
      <c r="E58" t="s">
        <v>94</v>
      </c>
      <c r="F58" t="s">
        <v>83</v>
      </c>
      <c r="G58" t="s">
        <v>81</v>
      </c>
    </row>
    <row r="59" spans="1:10" ht="15" customHeight="1" x14ac:dyDescent="0.25">
      <c r="A59" s="15" t="s">
        <v>153</v>
      </c>
      <c r="B59" s="2" t="s">
        <v>175</v>
      </c>
      <c r="C59" t="s">
        <v>186</v>
      </c>
      <c r="D59">
        <v>3</v>
      </c>
      <c r="E59" t="s">
        <v>94</v>
      </c>
      <c r="F59" t="s">
        <v>86</v>
      </c>
      <c r="G59" t="s">
        <v>87</v>
      </c>
      <c r="I59" s="10" t="s">
        <v>110</v>
      </c>
      <c r="J59" s="11" t="str">
        <f>SUMIFS(Tabulka22024568[Kredity], Tabulka22024568[Status],"Ano")&amp;" / "&amp;SUM(Tabulka22024568[Kredity])</f>
        <v>6 / 30</v>
      </c>
    </row>
    <row r="60" spans="1:10" ht="15" customHeight="1" x14ac:dyDescent="0.25">
      <c r="A60" s="15" t="s">
        <v>153</v>
      </c>
      <c r="B60" s="2" t="s">
        <v>176</v>
      </c>
      <c r="C60" t="s">
        <v>187</v>
      </c>
      <c r="D60">
        <v>3</v>
      </c>
      <c r="E60" t="s">
        <v>94</v>
      </c>
      <c r="F60" t="s">
        <v>86</v>
      </c>
      <c r="G60" t="s">
        <v>87</v>
      </c>
    </row>
    <row r="61" spans="1:10" ht="15" customHeight="1" x14ac:dyDescent="0.25">
      <c r="A61" s="15" t="s">
        <v>153</v>
      </c>
      <c r="B61" s="2" t="s">
        <v>177</v>
      </c>
      <c r="C61" t="s">
        <v>188</v>
      </c>
      <c r="D61">
        <v>3</v>
      </c>
      <c r="E61" t="s">
        <v>93</v>
      </c>
      <c r="F61" t="s">
        <v>189</v>
      </c>
      <c r="G61" t="s">
        <v>87</v>
      </c>
    </row>
    <row r="62" spans="1:10" ht="15" customHeight="1" x14ac:dyDescent="0.25">
      <c r="A62" s="15" t="s">
        <v>153</v>
      </c>
      <c r="B62" s="2" t="s">
        <v>178</v>
      </c>
      <c r="C62" t="s">
        <v>190</v>
      </c>
      <c r="D62">
        <v>3</v>
      </c>
      <c r="E62" t="s">
        <v>94</v>
      </c>
      <c r="F62" t="s">
        <v>85</v>
      </c>
      <c r="G62" t="s">
        <v>87</v>
      </c>
    </row>
    <row r="63" spans="1:10" ht="15" customHeight="1" x14ac:dyDescent="0.25">
      <c r="A63" s="15" t="s">
        <v>154</v>
      </c>
      <c r="B63" s="2" t="s">
        <v>179</v>
      </c>
      <c r="C63" t="s">
        <v>191</v>
      </c>
      <c r="D63">
        <v>3</v>
      </c>
      <c r="E63" t="s">
        <v>94</v>
      </c>
      <c r="F63" t="s">
        <v>85</v>
      </c>
      <c r="G63" t="s">
        <v>81</v>
      </c>
    </row>
    <row r="64" spans="1:10" ht="15" customHeight="1" x14ac:dyDescent="0.25">
      <c r="A64" s="15" t="s">
        <v>154</v>
      </c>
      <c r="B64" s="2" t="s">
        <v>180</v>
      </c>
      <c r="C64" t="s">
        <v>192</v>
      </c>
      <c r="D64">
        <v>3</v>
      </c>
      <c r="E64" t="s">
        <v>94</v>
      </c>
      <c r="F64" t="s">
        <v>85</v>
      </c>
      <c r="G64" t="s">
        <v>87</v>
      </c>
    </row>
    <row r="65" spans="1:7" ht="15" customHeight="1" x14ac:dyDescent="0.25">
      <c r="A65" s="15" t="s">
        <v>154</v>
      </c>
      <c r="B65" s="2" t="s">
        <v>181</v>
      </c>
      <c r="C65" t="s">
        <v>193</v>
      </c>
      <c r="D65">
        <v>3</v>
      </c>
      <c r="E65" t="s">
        <v>94</v>
      </c>
      <c r="F65" t="s">
        <v>85</v>
      </c>
      <c r="G65" t="s">
        <v>87</v>
      </c>
    </row>
    <row r="66" spans="1:7" ht="15" customHeight="1" x14ac:dyDescent="0.25">
      <c r="A66" s="15" t="s">
        <v>154</v>
      </c>
      <c r="B66" s="2" t="s">
        <v>182</v>
      </c>
      <c r="C66" t="s">
        <v>194</v>
      </c>
      <c r="D66">
        <v>3</v>
      </c>
      <c r="E66" t="s">
        <v>94</v>
      </c>
      <c r="F66" t="s">
        <v>86</v>
      </c>
      <c r="G66" t="s">
        <v>87</v>
      </c>
    </row>
    <row r="67" spans="1:7" ht="15" customHeight="1" x14ac:dyDescent="0.25"/>
  </sheetData>
  <mergeCells count="5">
    <mergeCell ref="A1:G1"/>
    <mergeCell ref="A14:G14"/>
    <mergeCell ref="A26:G26"/>
    <mergeCell ref="A44:G44"/>
    <mergeCell ref="A55:G55"/>
  </mergeCells>
  <conditionalFormatting sqref="A3:G8 A46:G49 A57:G66">
    <cfRule type="expression" dxfId="30" priority="11">
      <formula>$G3="Ano"</formula>
    </cfRule>
    <cfRule type="expression" dxfId="29" priority="12">
      <formula>$G3="Dělám"</formula>
    </cfRule>
  </conditionalFormatting>
  <conditionalFormatting sqref="A16:G20">
    <cfRule type="expression" dxfId="28" priority="7">
      <formula>$G16="Ano"</formula>
    </cfRule>
    <cfRule type="expression" dxfId="27" priority="8">
      <formula>$G16="Dělám"</formula>
    </cfRule>
  </conditionalFormatting>
  <conditionalFormatting sqref="A28:G38">
    <cfRule type="expression" dxfId="26" priority="5">
      <formula>$G28="Ano"</formula>
    </cfRule>
    <cfRule type="expression" dxfId="25" priority="6">
      <formula>$G28="Dělám"</formula>
    </cfRule>
  </conditionalFormatting>
  <hyperlinks>
    <hyperlink ref="B3" r:id="rId1" display="https://is.slu.cz/auth/predmet/fpf/zima2023/UIIABP0026"/>
    <hyperlink ref="B4" r:id="rId2" display="https://is.slu.cz/auth/predmet/fpf/zima2024/UIIABP0027"/>
    <hyperlink ref="B5" r:id="rId3" display="https://is.slu.cz/auth/predmet/fpf/leto2024/UIIABP0060"/>
    <hyperlink ref="B8" r:id="rId4" display="https://is.slu.cz/auth/predmet/fpf/leto2024/UIINP00001"/>
    <hyperlink ref="B7" r:id="rId5" display="https://is.slu.cz/auth/predmet/fpf/leto2024/UIIABP0062"/>
    <hyperlink ref="B6" r:id="rId6" display="https://is.slu.cz/auth/predmet/fpf/leto2024/UIIABP0061"/>
    <hyperlink ref="B16" r:id="rId7"/>
    <hyperlink ref="B17" r:id="rId8"/>
    <hyperlink ref="B18" r:id="rId9"/>
    <hyperlink ref="B19" r:id="rId10"/>
    <hyperlink ref="B20" r:id="rId11"/>
    <hyperlink ref="B28" r:id="rId12"/>
    <hyperlink ref="B29" r:id="rId13"/>
    <hyperlink ref="B30" r:id="rId14"/>
    <hyperlink ref="B31" r:id="rId15"/>
    <hyperlink ref="B32" r:id="rId16"/>
    <hyperlink ref="B33" r:id="rId17"/>
    <hyperlink ref="B34" r:id="rId18"/>
    <hyperlink ref="B35" r:id="rId19"/>
    <hyperlink ref="B36" r:id="rId20"/>
    <hyperlink ref="B37" r:id="rId21"/>
    <hyperlink ref="B38" r:id="rId22"/>
    <hyperlink ref="B46" r:id="rId23"/>
    <hyperlink ref="B47" r:id="rId24"/>
    <hyperlink ref="B48" r:id="rId25"/>
    <hyperlink ref="B49" r:id="rId26"/>
    <hyperlink ref="B57" r:id="rId27"/>
    <hyperlink ref="B58" r:id="rId28"/>
    <hyperlink ref="B59" r:id="rId29"/>
    <hyperlink ref="B60" r:id="rId30"/>
    <hyperlink ref="B61" r:id="rId31"/>
    <hyperlink ref="B62" r:id="rId32"/>
    <hyperlink ref="B63" r:id="rId33"/>
    <hyperlink ref="B64" r:id="rId34"/>
    <hyperlink ref="B65" r:id="rId35"/>
    <hyperlink ref="B66" r:id="rId36"/>
  </hyperlinks>
  <pageMargins left="0.7" right="0.7" top="0.78740157499999996" bottom="0.78740157499999996" header="0.3" footer="0.3"/>
  <pageSetup paperSize="9" orientation="portrait" r:id="rId37"/>
  <tableParts count="5">
    <tablePart r:id="rId38"/>
    <tablePart r:id="rId39"/>
    <tablePart r:id="rId40"/>
    <tablePart r:id="rId41"/>
    <tablePart r:id="rId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Povinné</vt:lpstr>
      <vt:lpstr>PVA</vt:lpstr>
      <vt:lpstr>PVB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Ondřej Repko</dc:creator>
  <cp:lastModifiedBy>Ondřej Repko</cp:lastModifiedBy>
  <dcterms:created xsi:type="dcterms:W3CDTF">2024-09-02T14:20:35Z</dcterms:created>
  <dcterms:modified xsi:type="dcterms:W3CDTF">2026-09-01T16:47:02Z</dcterms:modified>
</cp:coreProperties>
</file>